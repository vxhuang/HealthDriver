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h1997/Library/Mobile Documents/com~apple~CloudDocs/Documents/PSU/2023 Spring/ModelsComparison/"/>
    </mc:Choice>
  </mc:AlternateContent>
  <xr:revisionPtr revIDLastSave="0" documentId="13_ncr:1_{5566D83D-C489-C243-A134-418CDA9F197A}" xr6:coauthVersionLast="47" xr6:coauthVersionMax="47" xr10:uidLastSave="{00000000-0000-0000-0000-000000000000}"/>
  <bookViews>
    <workbookView xWindow="0" yWindow="760" windowWidth="33600" windowHeight="19320" xr2:uid="{2DDC40B4-359A-8642-815B-7B2703E23EAC}"/>
  </bookViews>
  <sheets>
    <sheet name="White_exposure" sheetId="6" r:id="rId1"/>
    <sheet name="Black_exposure" sheetId="7" r:id="rId2"/>
    <sheet name="Disparity_exposure" sheetId="12" r:id="rId3"/>
    <sheet name="White_deaths" sheetId="8" r:id="rId4"/>
    <sheet name="Black_deaths" sheetId="9" r:id="rId5"/>
    <sheet name="Disparity_deaths" sheetId="13" r:id="rId6"/>
    <sheet name="White_dr" sheetId="10" r:id="rId7"/>
    <sheet name="Black_dr" sheetId="11" r:id="rId8"/>
    <sheet name="Disparity_dr" sheetId="1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3" l="1"/>
  <c r="B2" i="13"/>
  <c r="C2" i="13"/>
  <c r="D2" i="13"/>
  <c r="E2" i="13"/>
  <c r="F2" i="13"/>
  <c r="G2" i="13"/>
  <c r="H2" i="13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" i="12"/>
  <c r="I3" i="14" l="1"/>
  <c r="J3" i="14" s="1"/>
  <c r="I4" i="14"/>
  <c r="J4" i="14" s="1"/>
  <c r="I5" i="14"/>
  <c r="J5" i="14" s="1"/>
  <c r="I6" i="14"/>
  <c r="J6" i="14" s="1"/>
  <c r="I7" i="14"/>
  <c r="J7" i="14" s="1"/>
  <c r="I8" i="14"/>
  <c r="J8" i="14" s="1"/>
  <c r="I9" i="14"/>
  <c r="J9" i="14" s="1"/>
  <c r="I10" i="14"/>
  <c r="J10" i="14" s="1"/>
  <c r="I11" i="14"/>
  <c r="J11" i="14" s="1"/>
  <c r="I12" i="14"/>
  <c r="J12" i="14" s="1"/>
  <c r="I13" i="14"/>
  <c r="J13" i="14" s="1"/>
  <c r="I14" i="14"/>
  <c r="J14" i="14" s="1"/>
  <c r="I15" i="14"/>
  <c r="J15" i="14" s="1"/>
  <c r="I16" i="14"/>
  <c r="J16" i="14" s="1"/>
  <c r="I17" i="14"/>
  <c r="J17" i="14" s="1"/>
  <c r="I18" i="14"/>
  <c r="J18" i="14" s="1"/>
  <c r="I19" i="14"/>
  <c r="I20" i="14"/>
  <c r="I21" i="14"/>
  <c r="I22" i="14"/>
  <c r="J22" i="14" s="1"/>
  <c r="I23" i="14"/>
  <c r="J23" i="14" s="1"/>
  <c r="I24" i="14"/>
  <c r="J24" i="14" s="1"/>
  <c r="I25" i="14"/>
  <c r="I26" i="14"/>
  <c r="J26" i="14" s="1"/>
  <c r="I27" i="14"/>
  <c r="J27" i="14" s="1"/>
  <c r="I28" i="14"/>
  <c r="J28" i="14" s="1"/>
  <c r="I29" i="14"/>
  <c r="J29" i="14" s="1"/>
  <c r="I30" i="14"/>
  <c r="J30" i="14" s="1"/>
  <c r="I31" i="14"/>
  <c r="J31" i="14" s="1"/>
  <c r="I32" i="14"/>
  <c r="J32" i="14" s="1"/>
  <c r="I33" i="14"/>
  <c r="J33" i="14" s="1"/>
  <c r="I34" i="14"/>
  <c r="J34" i="14" s="1"/>
  <c r="I35" i="14"/>
  <c r="I36" i="14"/>
  <c r="I37" i="14"/>
  <c r="I38" i="14"/>
  <c r="J38" i="14" s="1"/>
  <c r="I39" i="14"/>
  <c r="J39" i="14" s="1"/>
  <c r="I40" i="14"/>
  <c r="I41" i="14"/>
  <c r="I42" i="14"/>
  <c r="J42" i="14" s="1"/>
  <c r="I43" i="14"/>
  <c r="J43" i="14" s="1"/>
  <c r="I44" i="14"/>
  <c r="I45" i="14"/>
  <c r="I46" i="14"/>
  <c r="I47" i="14"/>
  <c r="J47" i="14" s="1"/>
  <c r="I48" i="14"/>
  <c r="I49" i="14"/>
  <c r="I50" i="14"/>
  <c r="J50" i="14" s="1"/>
  <c r="I51" i="14"/>
  <c r="I52" i="14"/>
  <c r="I53" i="14"/>
  <c r="I54" i="14"/>
  <c r="J54" i="14" s="1"/>
  <c r="I55" i="14"/>
  <c r="J55" i="14" s="1"/>
  <c r="I56" i="14"/>
  <c r="J56" i="14" s="1"/>
  <c r="I57" i="14"/>
  <c r="J57" i="14" s="1"/>
  <c r="I58" i="14"/>
  <c r="J58" i="14" s="1"/>
  <c r="I59" i="14"/>
  <c r="J59" i="14" s="1"/>
  <c r="I60" i="14"/>
  <c r="J60" i="14" s="1"/>
  <c r="I61" i="14"/>
  <c r="I62" i="14"/>
  <c r="J62" i="14" s="1"/>
  <c r="I63" i="14"/>
  <c r="J63" i="14" s="1"/>
  <c r="I64" i="14"/>
  <c r="I65" i="14"/>
  <c r="I66" i="14"/>
  <c r="J66" i="14" s="1"/>
  <c r="I67" i="14"/>
  <c r="I68" i="14"/>
  <c r="I69" i="14"/>
  <c r="I70" i="14"/>
  <c r="I71" i="14"/>
  <c r="I72" i="14"/>
  <c r="I73" i="14"/>
  <c r="G3" i="14"/>
  <c r="G4" i="14"/>
  <c r="H4" i="14" s="1"/>
  <c r="G5" i="14"/>
  <c r="G6" i="14"/>
  <c r="H6" i="14" s="1"/>
  <c r="G7" i="14"/>
  <c r="G8" i="14"/>
  <c r="H8" i="14" s="1"/>
  <c r="G9" i="14"/>
  <c r="G10" i="14"/>
  <c r="H10" i="14" s="1"/>
  <c r="G11" i="14"/>
  <c r="G12" i="14"/>
  <c r="G13" i="14"/>
  <c r="G14" i="14"/>
  <c r="H14" i="14" s="1"/>
  <c r="G15" i="14"/>
  <c r="G16" i="14"/>
  <c r="H16" i="14" s="1"/>
  <c r="G17" i="14"/>
  <c r="G18" i="14"/>
  <c r="H18" i="14" s="1"/>
  <c r="G19" i="14"/>
  <c r="G20" i="14"/>
  <c r="H20" i="14" s="1"/>
  <c r="G21" i="14"/>
  <c r="G22" i="14"/>
  <c r="H22" i="14" s="1"/>
  <c r="G23" i="14"/>
  <c r="G24" i="14"/>
  <c r="H24" i="14" s="1"/>
  <c r="G25" i="14"/>
  <c r="G26" i="14"/>
  <c r="H26" i="14" s="1"/>
  <c r="G27" i="14"/>
  <c r="G28" i="14"/>
  <c r="G29" i="14"/>
  <c r="G30" i="14"/>
  <c r="H30" i="14" s="1"/>
  <c r="G31" i="14"/>
  <c r="G32" i="14"/>
  <c r="H32" i="14" s="1"/>
  <c r="G33" i="14"/>
  <c r="G34" i="14"/>
  <c r="H34" i="14" s="1"/>
  <c r="G35" i="14"/>
  <c r="G36" i="14"/>
  <c r="H36" i="14" s="1"/>
  <c r="G37" i="14"/>
  <c r="G38" i="14"/>
  <c r="H38" i="14" s="1"/>
  <c r="G39" i="14"/>
  <c r="G40" i="14"/>
  <c r="H40" i="14" s="1"/>
  <c r="G41" i="14"/>
  <c r="G42" i="14"/>
  <c r="H42" i="14" s="1"/>
  <c r="G43" i="14"/>
  <c r="G44" i="14"/>
  <c r="H44" i="14" s="1"/>
  <c r="G45" i="14"/>
  <c r="G46" i="14"/>
  <c r="G47" i="14"/>
  <c r="G48" i="14"/>
  <c r="H48" i="14" s="1"/>
  <c r="G49" i="14"/>
  <c r="G50" i="14"/>
  <c r="H50" i="14" s="1"/>
  <c r="G51" i="14"/>
  <c r="G52" i="14"/>
  <c r="H52" i="14" s="1"/>
  <c r="G53" i="14"/>
  <c r="G54" i="14"/>
  <c r="H54" i="14" s="1"/>
  <c r="G55" i="14"/>
  <c r="G56" i="14"/>
  <c r="H56" i="14" s="1"/>
  <c r="G57" i="14"/>
  <c r="G58" i="14"/>
  <c r="H58" i="14" s="1"/>
  <c r="G59" i="14"/>
  <c r="G60" i="14"/>
  <c r="H60" i="14" s="1"/>
  <c r="G61" i="14"/>
  <c r="G62" i="14"/>
  <c r="H62" i="14" s="1"/>
  <c r="G63" i="14"/>
  <c r="G64" i="14"/>
  <c r="H64" i="14" s="1"/>
  <c r="G65" i="14"/>
  <c r="G66" i="14"/>
  <c r="H66" i="14" s="1"/>
  <c r="G67" i="14"/>
  <c r="G68" i="14"/>
  <c r="H68" i="14" s="1"/>
  <c r="G69" i="14"/>
  <c r="G70" i="14"/>
  <c r="H70" i="14" s="1"/>
  <c r="G71" i="14"/>
  <c r="G72" i="14"/>
  <c r="H72" i="14" s="1"/>
  <c r="G73" i="14"/>
  <c r="E3" i="14"/>
  <c r="E4" i="14"/>
  <c r="E5" i="14"/>
  <c r="E6" i="14"/>
  <c r="F6" i="14" s="1"/>
  <c r="E7" i="14"/>
  <c r="E8" i="14"/>
  <c r="E9" i="14"/>
  <c r="E10" i="14"/>
  <c r="F10" i="14" s="1"/>
  <c r="E11" i="14"/>
  <c r="E12" i="14"/>
  <c r="E13" i="14"/>
  <c r="E14" i="14"/>
  <c r="F14" i="14" s="1"/>
  <c r="E15" i="14"/>
  <c r="E16" i="14"/>
  <c r="E17" i="14"/>
  <c r="E18" i="14"/>
  <c r="F18" i="14" s="1"/>
  <c r="E19" i="14"/>
  <c r="E20" i="14"/>
  <c r="E21" i="14"/>
  <c r="E22" i="14"/>
  <c r="F22" i="14" s="1"/>
  <c r="E23" i="14"/>
  <c r="E24" i="14"/>
  <c r="E25" i="14"/>
  <c r="E26" i="14"/>
  <c r="F26" i="14" s="1"/>
  <c r="E27" i="14"/>
  <c r="E28" i="14"/>
  <c r="E29" i="14"/>
  <c r="E30" i="14"/>
  <c r="F30" i="14" s="1"/>
  <c r="E31" i="14"/>
  <c r="E32" i="14"/>
  <c r="E33" i="14"/>
  <c r="E34" i="14"/>
  <c r="F34" i="14" s="1"/>
  <c r="E35" i="14"/>
  <c r="E36" i="14"/>
  <c r="E37" i="14"/>
  <c r="E38" i="14"/>
  <c r="F38" i="14" s="1"/>
  <c r="E39" i="14"/>
  <c r="E40" i="14"/>
  <c r="E41" i="14"/>
  <c r="E42" i="14"/>
  <c r="F42" i="14" s="1"/>
  <c r="E43" i="14"/>
  <c r="E44" i="14"/>
  <c r="E45" i="14"/>
  <c r="E46" i="14"/>
  <c r="E47" i="14"/>
  <c r="E48" i="14"/>
  <c r="E49" i="14"/>
  <c r="E50" i="14"/>
  <c r="F50" i="14" s="1"/>
  <c r="E51" i="14"/>
  <c r="E52" i="14"/>
  <c r="E53" i="14"/>
  <c r="E54" i="14"/>
  <c r="F54" i="14" s="1"/>
  <c r="E55" i="14"/>
  <c r="E56" i="14"/>
  <c r="E57" i="14"/>
  <c r="E58" i="14"/>
  <c r="F58" i="14" s="1"/>
  <c r="E59" i="14"/>
  <c r="E60" i="14"/>
  <c r="E61" i="14"/>
  <c r="E62" i="14"/>
  <c r="F62" i="14" s="1"/>
  <c r="E63" i="14"/>
  <c r="E64" i="14"/>
  <c r="E65" i="14"/>
  <c r="E66" i="14"/>
  <c r="F66" i="14" s="1"/>
  <c r="E67" i="14"/>
  <c r="E68" i="14"/>
  <c r="E69" i="14"/>
  <c r="E70" i="14"/>
  <c r="F70" i="14" s="1"/>
  <c r="E71" i="14"/>
  <c r="E72" i="14"/>
  <c r="E73" i="14"/>
  <c r="I2" i="14"/>
  <c r="J2" i="14" s="1"/>
  <c r="G2" i="14"/>
  <c r="H2" i="14" s="1"/>
  <c r="E2" i="14"/>
  <c r="F2" i="14" s="1"/>
  <c r="J19" i="14"/>
  <c r="J35" i="14"/>
  <c r="J51" i="14"/>
  <c r="J52" i="14" s="1"/>
  <c r="J53" i="14" s="1"/>
  <c r="J67" i="14"/>
  <c r="H12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D26" i="14" s="1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D50" i="14" s="1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J71" i="14"/>
  <c r="J70" i="14"/>
  <c r="C2" i="14"/>
  <c r="D2" i="14" s="1"/>
  <c r="A3" i="14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B26" i="14" s="1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B50" i="14" s="1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2" i="14"/>
  <c r="B2" i="14" s="1"/>
  <c r="H28" i="14"/>
  <c r="I3" i="13"/>
  <c r="J3" i="13" s="1"/>
  <c r="I4" i="13"/>
  <c r="J4" i="13" s="1"/>
  <c r="I5" i="13"/>
  <c r="I6" i="13"/>
  <c r="J6" i="13" s="1"/>
  <c r="I7" i="13"/>
  <c r="I8" i="13"/>
  <c r="J8" i="13" s="1"/>
  <c r="I9" i="13"/>
  <c r="I10" i="13"/>
  <c r="J10" i="13" s="1"/>
  <c r="I11" i="13"/>
  <c r="J11" i="13" s="1"/>
  <c r="I12" i="13"/>
  <c r="J12" i="13" s="1"/>
  <c r="I13" i="13"/>
  <c r="I14" i="13"/>
  <c r="J14" i="13" s="1"/>
  <c r="I15" i="13"/>
  <c r="J15" i="13" s="1"/>
  <c r="I16" i="13"/>
  <c r="J16" i="13" s="1"/>
  <c r="I17" i="13"/>
  <c r="J17" i="13" s="1"/>
  <c r="I18" i="13"/>
  <c r="J18" i="13" s="1"/>
  <c r="I19" i="13"/>
  <c r="J19" i="13" s="1"/>
  <c r="I20" i="13"/>
  <c r="J20" i="13" s="1"/>
  <c r="I21" i="13"/>
  <c r="J21" i="13" s="1"/>
  <c r="I22" i="13"/>
  <c r="J22" i="13" s="1"/>
  <c r="I23" i="13"/>
  <c r="I24" i="13"/>
  <c r="J24" i="13" s="1"/>
  <c r="I25" i="13"/>
  <c r="I26" i="13"/>
  <c r="J26" i="13" s="1"/>
  <c r="I27" i="13"/>
  <c r="J27" i="13" s="1"/>
  <c r="I28" i="13"/>
  <c r="J28" i="13" s="1"/>
  <c r="I29" i="13"/>
  <c r="J29" i="13" s="1"/>
  <c r="I30" i="13"/>
  <c r="J30" i="13" s="1"/>
  <c r="I31" i="13"/>
  <c r="J31" i="13" s="1"/>
  <c r="I32" i="13"/>
  <c r="J32" i="13" s="1"/>
  <c r="I33" i="13"/>
  <c r="J33" i="13" s="1"/>
  <c r="I34" i="13"/>
  <c r="J34" i="13" s="1"/>
  <c r="I35" i="13"/>
  <c r="J35" i="13" s="1"/>
  <c r="I36" i="13"/>
  <c r="J36" i="13" s="1"/>
  <c r="I37" i="13"/>
  <c r="J37" i="13" s="1"/>
  <c r="I38" i="13"/>
  <c r="J38" i="13" s="1"/>
  <c r="I39" i="13"/>
  <c r="J39" i="13" s="1"/>
  <c r="I40" i="13"/>
  <c r="J40" i="13" s="1"/>
  <c r="I41" i="13"/>
  <c r="J41" i="13" s="1"/>
  <c r="I42" i="13"/>
  <c r="J42" i="13" s="1"/>
  <c r="I43" i="13"/>
  <c r="J43" i="13" s="1"/>
  <c r="I44" i="13"/>
  <c r="J44" i="13" s="1"/>
  <c r="I45" i="13"/>
  <c r="J45" i="13" s="1"/>
  <c r="I46" i="13"/>
  <c r="J46" i="13" s="1"/>
  <c r="I47" i="13"/>
  <c r="J47" i="13" s="1"/>
  <c r="I48" i="13"/>
  <c r="J48" i="13" s="1"/>
  <c r="I49" i="13"/>
  <c r="I50" i="13"/>
  <c r="J50" i="13" s="1"/>
  <c r="I51" i="13"/>
  <c r="I52" i="13"/>
  <c r="J52" i="13" s="1"/>
  <c r="I53" i="13"/>
  <c r="J53" i="13" s="1"/>
  <c r="I54" i="13"/>
  <c r="J54" i="13" s="1"/>
  <c r="I55" i="13"/>
  <c r="J55" i="13" s="1"/>
  <c r="I56" i="13"/>
  <c r="J56" i="13" s="1"/>
  <c r="I57" i="13"/>
  <c r="J57" i="13" s="1"/>
  <c r="I58" i="13"/>
  <c r="J58" i="13" s="1"/>
  <c r="I59" i="13"/>
  <c r="J59" i="13" s="1"/>
  <c r="I60" i="13"/>
  <c r="J60" i="13" s="1"/>
  <c r="I61" i="13"/>
  <c r="J61" i="13" s="1"/>
  <c r="I62" i="13"/>
  <c r="J62" i="13" s="1"/>
  <c r="I63" i="13"/>
  <c r="J63" i="13" s="1"/>
  <c r="I64" i="13"/>
  <c r="J64" i="13" s="1"/>
  <c r="I65" i="13"/>
  <c r="I66" i="13"/>
  <c r="J66" i="13" s="1"/>
  <c r="I67" i="13"/>
  <c r="J67" i="13" s="1"/>
  <c r="I68" i="13"/>
  <c r="J68" i="13" s="1"/>
  <c r="I69" i="13"/>
  <c r="J69" i="13" s="1"/>
  <c r="I70" i="13"/>
  <c r="J70" i="13" s="1"/>
  <c r="I71" i="13"/>
  <c r="J71" i="13" s="1"/>
  <c r="I72" i="13"/>
  <c r="J72" i="13" s="1"/>
  <c r="I73" i="13"/>
  <c r="J73" i="13" s="1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I2" i="13"/>
  <c r="J2" i="13" s="1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D8" i="12"/>
  <c r="D14" i="12"/>
  <c r="D2" i="12"/>
  <c r="A6" i="12"/>
  <c r="A7" i="12"/>
  <c r="A8" i="12"/>
  <c r="B8" i="12" s="1"/>
  <c r="A9" i="12"/>
  <c r="A10" i="12"/>
  <c r="A11" i="12"/>
  <c r="A12" i="12"/>
  <c r="A13" i="12"/>
  <c r="A14" i="12"/>
  <c r="B14" i="12" s="1"/>
  <c r="A15" i="12"/>
  <c r="A16" i="12"/>
  <c r="A17" i="12"/>
  <c r="A18" i="12"/>
  <c r="A19" i="12"/>
  <c r="A3" i="12"/>
  <c r="A4" i="12"/>
  <c r="A5" i="12"/>
  <c r="A2" i="12"/>
  <c r="B2" i="12" s="1"/>
  <c r="F3" i="13" l="1"/>
  <c r="J13" i="13"/>
  <c r="B15" i="12"/>
  <c r="H61" i="14"/>
  <c r="J65" i="13"/>
  <c r="J49" i="13"/>
  <c r="J44" i="14"/>
  <c r="J45" i="14" s="1"/>
  <c r="J25" i="13"/>
  <c r="J23" i="13"/>
  <c r="J48" i="14"/>
  <c r="J49" i="14" s="1"/>
  <c r="J40" i="14"/>
  <c r="J41" i="14" s="1"/>
  <c r="J64" i="14"/>
  <c r="J65" i="14" s="1"/>
  <c r="J61" i="14"/>
  <c r="J25" i="14"/>
  <c r="J72" i="14"/>
  <c r="J73" i="14" s="1"/>
  <c r="J68" i="14"/>
  <c r="J69" i="14" s="1"/>
  <c r="J20" i="14"/>
  <c r="J21" i="14"/>
  <c r="J36" i="14"/>
  <c r="J37" i="14" s="1"/>
  <c r="J5" i="13"/>
  <c r="J9" i="13"/>
  <c r="J7" i="13"/>
  <c r="J51" i="13"/>
  <c r="H6" i="13"/>
  <c r="H7" i="13" s="1"/>
  <c r="H8" i="13" s="1"/>
  <c r="H9" i="13" s="1"/>
  <c r="H10" i="13" s="1"/>
  <c r="H11" i="13" s="1"/>
  <c r="H12" i="13" s="1"/>
  <c r="H13" i="13" s="1"/>
  <c r="H14" i="13" s="1"/>
  <c r="H15" i="13" s="1"/>
  <c r="H16" i="13" s="1"/>
  <c r="H17" i="13" s="1"/>
  <c r="H18" i="13" s="1"/>
  <c r="H19" i="13" s="1"/>
  <c r="H20" i="13" s="1"/>
  <c r="H21" i="13" s="1"/>
  <c r="H22" i="13" s="1"/>
  <c r="H23" i="13" s="1"/>
  <c r="H24" i="13" s="1"/>
  <c r="H25" i="13" s="1"/>
  <c r="H26" i="13" s="1"/>
  <c r="H27" i="13" s="1"/>
  <c r="H28" i="13" s="1"/>
  <c r="H29" i="13" s="1"/>
  <c r="H30" i="13" s="1"/>
  <c r="H31" i="13" s="1"/>
  <c r="H32" i="13" s="1"/>
  <c r="H33" i="13" s="1"/>
  <c r="H34" i="13" s="1"/>
  <c r="H35" i="13" s="1"/>
  <c r="H36" i="13" s="1"/>
  <c r="H37" i="13" s="1"/>
  <c r="H38" i="13" s="1"/>
  <c r="H39" i="13" s="1"/>
  <c r="H40" i="13" s="1"/>
  <c r="H41" i="13" s="1"/>
  <c r="H42" i="13" s="1"/>
  <c r="H43" i="13" s="1"/>
  <c r="H44" i="13" s="1"/>
  <c r="H45" i="13" s="1"/>
  <c r="H46" i="13" s="1"/>
  <c r="H47" i="13" s="1"/>
  <c r="H48" i="13" s="1"/>
  <c r="H49" i="13" s="1"/>
  <c r="H50" i="13" s="1"/>
  <c r="H51" i="13" s="1"/>
  <c r="H52" i="13" s="1"/>
  <c r="H53" i="13" s="1"/>
  <c r="H54" i="13" s="1"/>
  <c r="H55" i="13" s="1"/>
  <c r="H56" i="13" s="1"/>
  <c r="H57" i="13" s="1"/>
  <c r="H58" i="13" s="1"/>
  <c r="H59" i="13" s="1"/>
  <c r="H60" i="13" s="1"/>
  <c r="H61" i="13" s="1"/>
  <c r="H62" i="13" s="1"/>
  <c r="H63" i="13" s="1"/>
  <c r="H64" i="13" s="1"/>
  <c r="H65" i="13" s="1"/>
  <c r="H66" i="13" s="1"/>
  <c r="H67" i="13" s="1"/>
  <c r="H68" i="13" s="1"/>
  <c r="H69" i="13" s="1"/>
  <c r="H70" i="13" s="1"/>
  <c r="H71" i="13" s="1"/>
  <c r="H72" i="13" s="1"/>
  <c r="H73" i="13" s="1"/>
  <c r="D3" i="12"/>
  <c r="H69" i="14"/>
  <c r="H53" i="14"/>
  <c r="F55" i="14"/>
  <c r="H27" i="14"/>
  <c r="H13" i="14"/>
  <c r="H11" i="14"/>
  <c r="H43" i="14"/>
  <c r="F71" i="14"/>
  <c r="F72" i="14" s="1"/>
  <c r="F73" i="14" s="1"/>
  <c r="H45" i="14"/>
  <c r="D3" i="13"/>
  <c r="D4" i="13" s="1"/>
  <c r="D5" i="13" s="1"/>
  <c r="D6" i="13" s="1"/>
  <c r="D7" i="13" s="1"/>
  <c r="D8" i="13" s="1"/>
  <c r="D9" i="13" s="1"/>
  <c r="D10" i="13" s="1"/>
  <c r="D11" i="13" s="1"/>
  <c r="D12" i="13" s="1"/>
  <c r="D13" i="13" s="1"/>
  <c r="D14" i="13" s="1"/>
  <c r="D15" i="13" s="1"/>
  <c r="D16" i="13" s="1"/>
  <c r="D17" i="13" s="1"/>
  <c r="D18" i="13" s="1"/>
  <c r="D19" i="13" s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D43" i="13" s="1"/>
  <c r="D44" i="13" s="1"/>
  <c r="D45" i="13" s="1"/>
  <c r="D46" i="13" s="1"/>
  <c r="D47" i="13" s="1"/>
  <c r="D48" i="13" s="1"/>
  <c r="D49" i="13" s="1"/>
  <c r="D50" i="13" s="1"/>
  <c r="D51" i="13" s="1"/>
  <c r="D52" i="13" s="1"/>
  <c r="D53" i="13" s="1"/>
  <c r="D54" i="13" s="1"/>
  <c r="D55" i="13" s="1"/>
  <c r="D56" i="13" s="1"/>
  <c r="D57" i="13" s="1"/>
  <c r="D58" i="13" s="1"/>
  <c r="D59" i="13" s="1"/>
  <c r="D60" i="13" s="1"/>
  <c r="D61" i="13" s="1"/>
  <c r="D62" i="13" s="1"/>
  <c r="D63" i="13" s="1"/>
  <c r="D64" i="13" s="1"/>
  <c r="D65" i="13" s="1"/>
  <c r="D66" i="13" s="1"/>
  <c r="D67" i="13" s="1"/>
  <c r="D68" i="13" s="1"/>
  <c r="D69" i="13" s="1"/>
  <c r="D70" i="13" s="1"/>
  <c r="D71" i="13" s="1"/>
  <c r="D72" i="13" s="1"/>
  <c r="D73" i="13" s="1"/>
  <c r="H3" i="13"/>
  <c r="H4" i="13" s="1"/>
  <c r="H5" i="13" s="1"/>
  <c r="F4" i="13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  <c r="F44" i="13" s="1"/>
  <c r="F45" i="13" s="1"/>
  <c r="F46" i="13" s="1"/>
  <c r="F47" i="13" s="1"/>
  <c r="F48" i="13" s="1"/>
  <c r="F49" i="13" s="1"/>
  <c r="F50" i="13" s="1"/>
  <c r="F51" i="13" s="1"/>
  <c r="F52" i="13" s="1"/>
  <c r="F53" i="13" s="1"/>
  <c r="F54" i="13" s="1"/>
  <c r="F55" i="13" s="1"/>
  <c r="F56" i="13" s="1"/>
  <c r="F57" i="13" s="1"/>
  <c r="F58" i="13" s="1"/>
  <c r="F59" i="13" s="1"/>
  <c r="F60" i="13" s="1"/>
  <c r="F61" i="13" s="1"/>
  <c r="F62" i="13" s="1"/>
  <c r="F63" i="13" s="1"/>
  <c r="F64" i="13" s="1"/>
  <c r="F65" i="13" s="1"/>
  <c r="F66" i="13" s="1"/>
  <c r="F67" i="13" s="1"/>
  <c r="F68" i="13" s="1"/>
  <c r="F69" i="13" s="1"/>
  <c r="F70" i="13" s="1"/>
  <c r="F71" i="13" s="1"/>
  <c r="F72" i="13" s="1"/>
  <c r="F73" i="13" s="1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D9" i="12"/>
  <c r="B16" i="12"/>
  <c r="B17" i="12" s="1"/>
  <c r="B18" i="12" s="1"/>
  <c r="B19" i="12" s="1"/>
  <c r="B9" i="12"/>
  <c r="B10" i="12" s="1"/>
  <c r="B11" i="12" s="1"/>
  <c r="B12" i="12" s="1"/>
  <c r="B13" i="12" s="1"/>
  <c r="D4" i="12"/>
  <c r="D5" i="12" s="1"/>
  <c r="D6" i="12" s="1"/>
  <c r="D7" i="12" s="1"/>
  <c r="B3" i="12"/>
  <c r="B4" i="12" s="1"/>
  <c r="B5" i="12" s="1"/>
  <c r="B6" i="12" s="1"/>
  <c r="B7" i="12" s="1"/>
  <c r="D15" i="12"/>
  <c r="D16" i="12" s="1"/>
  <c r="D17" i="12" s="1"/>
  <c r="D18" i="12" s="1"/>
  <c r="D19" i="12" s="1"/>
  <c r="D10" i="12"/>
  <c r="D11" i="12" s="1"/>
  <c r="D12" i="12" s="1"/>
  <c r="D13" i="12" s="1"/>
  <c r="J46" i="14"/>
  <c r="H29" i="14"/>
  <c r="H59" i="14"/>
  <c r="H7" i="14"/>
  <c r="H71" i="14"/>
  <c r="H3" i="14"/>
  <c r="H23" i="14"/>
  <c r="H51" i="14"/>
  <c r="H67" i="14"/>
  <c r="H19" i="14"/>
  <c r="H35" i="14"/>
  <c r="H39" i="14"/>
  <c r="H55" i="14"/>
  <c r="F7" i="14"/>
  <c r="F8" i="14" s="1"/>
  <c r="F9" i="14" s="1"/>
  <c r="F23" i="14"/>
  <c r="F24" i="14" s="1"/>
  <c r="F25" i="14" s="1"/>
  <c r="F39" i="14"/>
  <c r="F40" i="14" s="1"/>
  <c r="F41" i="14" s="1"/>
  <c r="F56" i="14"/>
  <c r="F57" i="14" s="1"/>
  <c r="B27" i="14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H49" i="14"/>
  <c r="F11" i="14"/>
  <c r="F12" i="14" s="1"/>
  <c r="F13" i="14" s="1"/>
  <c r="F27" i="14"/>
  <c r="F28" i="14" s="1"/>
  <c r="F29" i="14" s="1"/>
  <c r="F43" i="14"/>
  <c r="F44" i="14" s="1"/>
  <c r="F45" i="14" s="1"/>
  <c r="F46" i="14" s="1"/>
  <c r="F47" i="14" s="1"/>
  <c r="F48" i="14" s="1"/>
  <c r="F49" i="14" s="1"/>
  <c r="H46" i="14"/>
  <c r="H47" i="14" s="1"/>
  <c r="F59" i="14"/>
  <c r="F60" i="14" s="1"/>
  <c r="F61" i="14" s="1"/>
  <c r="D27" i="14"/>
  <c r="D28" i="14" s="1"/>
  <c r="D29" i="14" s="1"/>
  <c r="D30" i="14" s="1"/>
  <c r="D31" i="14" s="1"/>
  <c r="D32" i="14" s="1"/>
  <c r="D33" i="14" s="1"/>
  <c r="D34" i="14" s="1"/>
  <c r="D35" i="14" s="1"/>
  <c r="D36" i="14" s="1"/>
  <c r="D37" i="14" s="1"/>
  <c r="D38" i="14" s="1"/>
  <c r="D39" i="14" s="1"/>
  <c r="D40" i="14" s="1"/>
  <c r="D41" i="14" s="1"/>
  <c r="D42" i="14" s="1"/>
  <c r="D43" i="14" s="1"/>
  <c r="D44" i="14" s="1"/>
  <c r="D45" i="14" s="1"/>
  <c r="D46" i="14" s="1"/>
  <c r="D47" i="14" s="1"/>
  <c r="D48" i="14" s="1"/>
  <c r="D49" i="14" s="1"/>
  <c r="H33" i="14"/>
  <c r="H65" i="14"/>
  <c r="H5" i="14"/>
  <c r="H37" i="14"/>
  <c r="H21" i="14"/>
  <c r="F15" i="14"/>
  <c r="F16" i="14" s="1"/>
  <c r="F17" i="14" s="1"/>
  <c r="H17" i="14"/>
  <c r="F31" i="14"/>
  <c r="F32" i="14" s="1"/>
  <c r="F33" i="14" s="1"/>
  <c r="F63" i="14"/>
  <c r="F64" i="14" s="1"/>
  <c r="F65" i="14" s="1"/>
  <c r="H15" i="14"/>
  <c r="H31" i="14"/>
  <c r="H63" i="14"/>
  <c r="B3" i="14"/>
  <c r="B4" i="14" s="1"/>
  <c r="B5" i="14" s="1"/>
  <c r="B6" i="14" s="1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51" i="14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D3" i="14"/>
  <c r="D4" i="14" s="1"/>
  <c r="D5" i="14" s="1"/>
  <c r="D6" i="14" s="1"/>
  <c r="D7" i="14" s="1"/>
  <c r="D8" i="14" s="1"/>
  <c r="D9" i="14" s="1"/>
  <c r="D10" i="14" s="1"/>
  <c r="D11" i="14" s="1"/>
  <c r="D12" i="14" s="1"/>
  <c r="D13" i="14" s="1"/>
  <c r="D14" i="14" s="1"/>
  <c r="D15" i="14" s="1"/>
  <c r="D16" i="14" s="1"/>
  <c r="D17" i="14" s="1"/>
  <c r="D18" i="14" s="1"/>
  <c r="D19" i="14" s="1"/>
  <c r="D20" i="14" s="1"/>
  <c r="D21" i="14" s="1"/>
  <c r="D22" i="14" s="1"/>
  <c r="D23" i="14" s="1"/>
  <c r="D24" i="14" s="1"/>
  <c r="D25" i="14" s="1"/>
  <c r="H9" i="14"/>
  <c r="H25" i="14"/>
  <c r="H41" i="14"/>
  <c r="D51" i="14"/>
  <c r="D52" i="14" s="1"/>
  <c r="D53" i="14" s="1"/>
  <c r="D54" i="14" s="1"/>
  <c r="D55" i="14" s="1"/>
  <c r="D56" i="14" s="1"/>
  <c r="D57" i="14" s="1"/>
  <c r="D58" i="14" s="1"/>
  <c r="D59" i="14" s="1"/>
  <c r="D60" i="14" s="1"/>
  <c r="D61" i="14" s="1"/>
  <c r="D62" i="14" s="1"/>
  <c r="D63" i="14" s="1"/>
  <c r="D64" i="14" s="1"/>
  <c r="D65" i="14" s="1"/>
  <c r="D66" i="14" s="1"/>
  <c r="D67" i="14" s="1"/>
  <c r="D68" i="14" s="1"/>
  <c r="D69" i="14" s="1"/>
  <c r="D70" i="14" s="1"/>
  <c r="D71" i="14" s="1"/>
  <c r="D72" i="14" s="1"/>
  <c r="D73" i="14" s="1"/>
  <c r="H57" i="14"/>
  <c r="H73" i="14"/>
  <c r="F3" i="14"/>
  <c r="F4" i="14" s="1"/>
  <c r="F5" i="14" s="1"/>
  <c r="F19" i="14"/>
  <c r="F20" i="14" s="1"/>
  <c r="F21" i="14" s="1"/>
  <c r="F35" i="14"/>
  <c r="F36" i="14" s="1"/>
  <c r="F37" i="14" s="1"/>
  <c r="F51" i="14"/>
  <c r="F52" i="14" s="1"/>
  <c r="F53" i="14" s="1"/>
  <c r="F67" i="14"/>
  <c r="F68" i="14" s="1"/>
  <c r="F69" i="14" s="1"/>
</calcChain>
</file>

<file path=xl/sharedStrings.xml><?xml version="1.0" encoding="utf-8"?>
<sst xmlns="http://schemas.openxmlformats.org/spreadsheetml/2006/main" count="1033" uniqueCount="18">
  <si>
    <t>AQM</t>
  </si>
  <si>
    <t>Downscaling</t>
  </si>
  <si>
    <t>Exposed population</t>
  </si>
  <si>
    <t>Baseline mortality rates</t>
  </si>
  <si>
    <t>Relative risks</t>
  </si>
  <si>
    <t>WRF-Chem</t>
  </si>
  <si>
    <t>Statistical</t>
  </si>
  <si>
    <t>Equity</t>
  </si>
  <si>
    <t>SSP2</t>
  </si>
  <si>
    <t>SSP3</t>
  </si>
  <si>
    <t>SSP5</t>
  </si>
  <si>
    <t>Uniform</t>
  </si>
  <si>
    <t>Different</t>
  </si>
  <si>
    <t>InMAP</t>
  </si>
  <si>
    <t>ISRM</t>
  </si>
  <si>
    <t>Metrics</t>
  </si>
  <si>
    <t>nonWhite_minus_White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</si>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</sst>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3167E-F7C8-704A-BB16-149C36E78100}">
  <dimension ref="A1:O22"/>
  <sheetViews>
    <sheetView tabSelected="1" workbookViewId="0">
      <selection activeCell="G18" sqref="G18"/>
    </sheetView>
  </sheetViews>
  <sheetFormatPr baseColWidth="10" defaultRowHeight="16" x14ac:dyDescent="0.2"/>
  <sheetData>
    <row r="1" spans="1:15" x14ac:dyDescent="0.2">
      <c r="A1" t="s">
        <v>15</v>
      </c>
      <c r="B1" t="s">
        <v>2</v>
      </c>
      <c r="D1" t="s">
        <v>1</v>
      </c>
      <c r="F1" t="s">
        <v>0</v>
      </c>
    </row>
    <row r="2" spans="1:15" x14ac:dyDescent="0.2">
      <c r="B2" s="2" t="s">
        <v>8</v>
      </c>
      <c r="C2" s="2">
        <v>3.93</v>
      </c>
      <c r="D2" s="2" t="s">
        <v>6</v>
      </c>
      <c r="E2" s="2">
        <v>3.93</v>
      </c>
      <c r="F2" s="2" t="s">
        <v>5</v>
      </c>
      <c r="G2" s="2">
        <v>6.26</v>
      </c>
      <c r="H2" s="2"/>
      <c r="O2" s="2"/>
    </row>
    <row r="3" spans="1:15" x14ac:dyDescent="0.2">
      <c r="B3" s="2"/>
      <c r="C3" s="2"/>
      <c r="D3" s="2"/>
      <c r="E3" s="2"/>
      <c r="F3" s="2" t="s">
        <v>13</v>
      </c>
      <c r="G3" s="2">
        <v>3.93</v>
      </c>
      <c r="H3" s="2"/>
      <c r="O3" s="2"/>
    </row>
    <row r="4" spans="1:15" x14ac:dyDescent="0.2">
      <c r="B4" s="2"/>
      <c r="C4" s="2"/>
      <c r="D4" s="2"/>
      <c r="E4" s="2"/>
      <c r="F4" s="2" t="s">
        <v>14</v>
      </c>
      <c r="G4" s="2">
        <v>3.81</v>
      </c>
      <c r="H4" s="2"/>
      <c r="O4" s="2"/>
    </row>
    <row r="5" spans="1:15" x14ac:dyDescent="0.2">
      <c r="B5" s="2"/>
      <c r="C5" s="2"/>
      <c r="D5" s="2" t="s">
        <v>7</v>
      </c>
      <c r="E5" s="2">
        <v>3.38</v>
      </c>
      <c r="F5" s="2" t="s">
        <v>5</v>
      </c>
      <c r="G5" s="2">
        <v>6.22</v>
      </c>
      <c r="H5" s="2"/>
      <c r="O5" s="2"/>
    </row>
    <row r="6" spans="1:15" x14ac:dyDescent="0.2">
      <c r="B6" s="2"/>
      <c r="C6" s="2"/>
      <c r="D6" s="2"/>
      <c r="E6" s="2"/>
      <c r="F6" s="2" t="s">
        <v>13</v>
      </c>
      <c r="G6" s="2">
        <v>3.38</v>
      </c>
      <c r="H6" s="2"/>
      <c r="O6" s="2"/>
    </row>
    <row r="7" spans="1:15" x14ac:dyDescent="0.2">
      <c r="B7" s="2"/>
      <c r="C7" s="2"/>
      <c r="D7" s="2"/>
      <c r="E7" s="2"/>
      <c r="F7" s="2" t="s">
        <v>14</v>
      </c>
      <c r="G7" s="2">
        <v>3.52</v>
      </c>
      <c r="H7" s="2"/>
      <c r="O7" s="2"/>
    </row>
    <row r="8" spans="1:15" x14ac:dyDescent="0.2">
      <c r="B8" s="2" t="s">
        <v>9</v>
      </c>
      <c r="C8" s="2">
        <v>3.94</v>
      </c>
      <c r="D8" s="2" t="s">
        <v>6</v>
      </c>
      <c r="E8" s="2">
        <v>3.94</v>
      </c>
      <c r="F8" s="2" t="s">
        <v>5</v>
      </c>
      <c r="G8" s="2">
        <v>6.26</v>
      </c>
      <c r="H8" s="2"/>
      <c r="O8" s="2"/>
    </row>
    <row r="9" spans="1:15" x14ac:dyDescent="0.2">
      <c r="B9" s="2"/>
      <c r="C9" s="2"/>
      <c r="D9" s="2"/>
      <c r="E9" s="2"/>
      <c r="F9" s="2" t="s">
        <v>13</v>
      </c>
      <c r="G9" s="2">
        <v>3.94</v>
      </c>
      <c r="H9" s="2"/>
      <c r="O9" s="2"/>
    </row>
    <row r="10" spans="1:15" x14ac:dyDescent="0.2">
      <c r="B10" s="2"/>
      <c r="C10" s="2"/>
      <c r="D10" s="2"/>
      <c r="E10" s="2"/>
      <c r="F10" s="2" t="s">
        <v>14</v>
      </c>
      <c r="G10" s="2">
        <v>3.81</v>
      </c>
      <c r="H10" s="2"/>
      <c r="O10" s="2"/>
    </row>
    <row r="11" spans="1:15" x14ac:dyDescent="0.2">
      <c r="B11" s="2"/>
      <c r="C11" s="2"/>
      <c r="D11" s="2" t="s">
        <v>7</v>
      </c>
      <c r="E11" s="2">
        <v>3.38</v>
      </c>
      <c r="F11" s="2" t="s">
        <v>5</v>
      </c>
      <c r="G11" s="2">
        <v>6.22</v>
      </c>
      <c r="H11" s="2"/>
      <c r="O11" s="2"/>
    </row>
    <row r="12" spans="1:15" x14ac:dyDescent="0.2">
      <c r="B12" s="2"/>
      <c r="C12" s="2"/>
      <c r="D12" s="2"/>
      <c r="E12" s="2"/>
      <c r="F12" s="2" t="s">
        <v>13</v>
      </c>
      <c r="G12" s="2">
        <v>3.38</v>
      </c>
      <c r="H12" s="2"/>
      <c r="O12" s="2"/>
    </row>
    <row r="13" spans="1:15" x14ac:dyDescent="0.2">
      <c r="B13" s="2"/>
      <c r="C13" s="2"/>
      <c r="D13" s="2"/>
      <c r="E13" s="2"/>
      <c r="F13" s="2" t="s">
        <v>14</v>
      </c>
      <c r="G13" s="2">
        <v>3.52</v>
      </c>
      <c r="H13" s="2"/>
      <c r="O13" s="2"/>
    </row>
    <row r="14" spans="1:15" x14ac:dyDescent="0.2">
      <c r="B14" s="2" t="s">
        <v>10</v>
      </c>
      <c r="C14" s="2">
        <v>3.93</v>
      </c>
      <c r="D14" s="2" t="s">
        <v>6</v>
      </c>
      <c r="E14" s="2">
        <v>3.93</v>
      </c>
      <c r="F14" s="2" t="s">
        <v>5</v>
      </c>
      <c r="G14" s="2">
        <v>6.26</v>
      </c>
      <c r="H14" s="2"/>
      <c r="O14" s="2"/>
    </row>
    <row r="15" spans="1:15" x14ac:dyDescent="0.2">
      <c r="B15" s="2"/>
      <c r="C15" s="2"/>
      <c r="D15" s="2"/>
      <c r="E15" s="2"/>
      <c r="F15" s="2" t="s">
        <v>13</v>
      </c>
      <c r="G15" s="2">
        <v>3.93</v>
      </c>
      <c r="H15" s="2"/>
      <c r="O15" s="2"/>
    </row>
    <row r="16" spans="1:15" x14ac:dyDescent="0.2">
      <c r="B16" s="2"/>
      <c r="C16" s="2"/>
      <c r="D16" s="2"/>
      <c r="E16" s="2"/>
      <c r="F16" s="2" t="s">
        <v>14</v>
      </c>
      <c r="G16" s="2">
        <v>3.81</v>
      </c>
      <c r="H16" s="2"/>
      <c r="O16" s="2"/>
    </row>
    <row r="17" spans="2:15" x14ac:dyDescent="0.2">
      <c r="B17" s="2"/>
      <c r="C17" s="2"/>
      <c r="D17" s="2" t="s">
        <v>7</v>
      </c>
      <c r="E17" s="2">
        <v>3.38</v>
      </c>
      <c r="F17" s="2" t="s">
        <v>5</v>
      </c>
      <c r="G17" s="2">
        <v>6.22</v>
      </c>
      <c r="H17" s="2"/>
      <c r="O17" s="2"/>
    </row>
    <row r="18" spans="2:15" x14ac:dyDescent="0.2">
      <c r="B18" s="2"/>
      <c r="C18" s="2"/>
      <c r="D18" s="2"/>
      <c r="E18" s="2"/>
      <c r="F18" s="2" t="s">
        <v>13</v>
      </c>
      <c r="G18" s="2">
        <v>3.38</v>
      </c>
      <c r="H18" s="2"/>
      <c r="O18" s="2"/>
    </row>
    <row r="19" spans="2:15" x14ac:dyDescent="0.2">
      <c r="B19" s="2"/>
      <c r="C19" s="2"/>
      <c r="D19" s="2"/>
      <c r="E19" s="2"/>
      <c r="F19" s="2" t="s">
        <v>14</v>
      </c>
      <c r="G19" s="2">
        <v>3.52</v>
      </c>
      <c r="H19" s="2"/>
      <c r="O19" s="2"/>
    </row>
    <row r="20" spans="2:15" x14ac:dyDescent="0.2">
      <c r="B20" s="2"/>
      <c r="C20" s="2"/>
      <c r="D20" s="2"/>
      <c r="E20" s="2"/>
      <c r="F20" s="2"/>
      <c r="G20" s="2"/>
      <c r="H20" s="2"/>
      <c r="K20" s="2"/>
      <c r="L20" s="2"/>
      <c r="M20" s="2"/>
      <c r="N20" s="2"/>
      <c r="O20" s="2"/>
    </row>
    <row r="21" spans="2:15" x14ac:dyDescent="0.2">
      <c r="H21" s="2"/>
    </row>
    <row r="22" spans="2:15" x14ac:dyDescent="0.2">
      <c r="H2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4E1AD-F47B-844F-B801-63B9CBD08DBB}">
  <dimension ref="A1:O22"/>
  <sheetViews>
    <sheetView workbookViewId="0">
      <selection activeCell="H17" sqref="H17"/>
    </sheetView>
  </sheetViews>
  <sheetFormatPr baseColWidth="10" defaultRowHeight="16" x14ac:dyDescent="0.2"/>
  <sheetData>
    <row r="1" spans="1:15" x14ac:dyDescent="0.2">
      <c r="A1" t="s">
        <v>15</v>
      </c>
      <c r="B1" t="s">
        <v>2</v>
      </c>
      <c r="D1" t="s">
        <v>1</v>
      </c>
      <c r="F1" t="s">
        <v>0</v>
      </c>
      <c r="H1" s="1"/>
    </row>
    <row r="2" spans="1:15" x14ac:dyDescent="0.2">
      <c r="B2" s="2" t="s">
        <v>8</v>
      </c>
      <c r="C2" s="2">
        <v>4.5199999999999996</v>
      </c>
      <c r="D2" s="2" t="s">
        <v>6</v>
      </c>
      <c r="E2" s="2">
        <v>4.5199999999999996</v>
      </c>
      <c r="F2" s="2" t="s">
        <v>5</v>
      </c>
      <c r="G2" s="2">
        <v>6.81</v>
      </c>
      <c r="H2" s="3"/>
      <c r="I2" s="2"/>
      <c r="O2" s="2"/>
    </row>
    <row r="3" spans="1:15" x14ac:dyDescent="0.2">
      <c r="B3" s="2"/>
      <c r="C3" s="2"/>
      <c r="D3" s="2"/>
      <c r="E3" s="2"/>
      <c r="F3" s="2" t="s">
        <v>13</v>
      </c>
      <c r="G3" s="2">
        <v>4.5199999999999996</v>
      </c>
      <c r="H3" s="3"/>
      <c r="I3" s="2"/>
      <c r="O3" s="2"/>
    </row>
    <row r="4" spans="1:15" x14ac:dyDescent="0.2">
      <c r="B4" s="2"/>
      <c r="C4" s="2"/>
      <c r="D4" s="2"/>
      <c r="E4" s="2"/>
      <c r="F4" s="2" t="s">
        <v>14</v>
      </c>
      <c r="G4" s="2">
        <v>4.34</v>
      </c>
      <c r="H4" s="3"/>
      <c r="I4" s="2"/>
      <c r="O4" s="2"/>
    </row>
    <row r="5" spans="1:15" x14ac:dyDescent="0.2">
      <c r="B5" s="2"/>
      <c r="C5" s="2"/>
      <c r="D5" s="2" t="s">
        <v>7</v>
      </c>
      <c r="E5" s="2">
        <v>3.56</v>
      </c>
      <c r="F5" s="2" t="s">
        <v>5</v>
      </c>
      <c r="G5" s="2">
        <v>6.59</v>
      </c>
      <c r="H5" s="3"/>
      <c r="I5" s="2"/>
      <c r="O5" s="2"/>
    </row>
    <row r="6" spans="1:15" x14ac:dyDescent="0.2">
      <c r="B6" s="2"/>
      <c r="C6" s="2"/>
      <c r="D6" s="2"/>
      <c r="E6" s="2"/>
      <c r="F6" s="2" t="s">
        <v>13</v>
      </c>
      <c r="G6" s="2">
        <v>3.56</v>
      </c>
      <c r="H6" s="3"/>
      <c r="I6" s="2"/>
      <c r="O6" s="2"/>
    </row>
    <row r="7" spans="1:15" x14ac:dyDescent="0.2">
      <c r="B7" s="2"/>
      <c r="C7" s="2"/>
      <c r="D7" s="2"/>
      <c r="E7" s="2"/>
      <c r="F7" s="2" t="s">
        <v>14</v>
      </c>
      <c r="G7" s="2">
        <v>3.61</v>
      </c>
      <c r="H7" s="3"/>
      <c r="I7" s="2"/>
      <c r="O7" s="2"/>
    </row>
    <row r="8" spans="1:15" x14ac:dyDescent="0.2">
      <c r="B8" s="2" t="s">
        <v>9</v>
      </c>
      <c r="C8" s="2">
        <v>4.53</v>
      </c>
      <c r="D8" s="2" t="s">
        <v>6</v>
      </c>
      <c r="E8" s="2">
        <v>4.53</v>
      </c>
      <c r="F8" s="2" t="s">
        <v>5</v>
      </c>
      <c r="G8" s="2">
        <v>6.82</v>
      </c>
      <c r="H8" s="3"/>
      <c r="I8" s="2"/>
      <c r="O8" s="2"/>
    </row>
    <row r="9" spans="1:15" x14ac:dyDescent="0.2">
      <c r="B9" s="2"/>
      <c r="C9" s="2"/>
      <c r="D9" s="2"/>
      <c r="E9" s="2"/>
      <c r="F9" s="2" t="s">
        <v>13</v>
      </c>
      <c r="G9" s="2">
        <v>4.53</v>
      </c>
      <c r="H9" s="3"/>
      <c r="I9" s="2"/>
      <c r="O9" s="2"/>
    </row>
    <row r="10" spans="1:15" x14ac:dyDescent="0.2">
      <c r="B10" s="2"/>
      <c r="C10" s="2"/>
      <c r="D10" s="2"/>
      <c r="E10" s="2"/>
      <c r="F10" s="2" t="s">
        <v>14</v>
      </c>
      <c r="G10" s="2">
        <v>4.34</v>
      </c>
      <c r="H10" s="3"/>
      <c r="I10" s="2"/>
      <c r="O10" s="2"/>
    </row>
    <row r="11" spans="1:15" x14ac:dyDescent="0.2">
      <c r="B11" s="2"/>
      <c r="C11" s="2"/>
      <c r="D11" s="2" t="s">
        <v>7</v>
      </c>
      <c r="E11" s="2">
        <v>3.56</v>
      </c>
      <c r="F11" s="2" t="s">
        <v>5</v>
      </c>
      <c r="G11" s="2">
        <v>6.59</v>
      </c>
      <c r="H11" s="3"/>
      <c r="I11" s="2"/>
      <c r="O11" s="2"/>
    </row>
    <row r="12" spans="1:15" x14ac:dyDescent="0.2">
      <c r="B12" s="2"/>
      <c r="C12" s="2"/>
      <c r="D12" s="2"/>
      <c r="E12" s="2"/>
      <c r="F12" s="2" t="s">
        <v>13</v>
      </c>
      <c r="G12" s="2">
        <v>3.56</v>
      </c>
      <c r="H12" s="3"/>
      <c r="I12" s="2"/>
      <c r="O12" s="2"/>
    </row>
    <row r="13" spans="1:15" x14ac:dyDescent="0.2">
      <c r="B13" s="2"/>
      <c r="C13" s="2"/>
      <c r="D13" s="2"/>
      <c r="E13" s="2"/>
      <c r="F13" s="2" t="s">
        <v>14</v>
      </c>
      <c r="G13" s="2">
        <v>3.61</v>
      </c>
      <c r="H13" s="3"/>
      <c r="I13" s="2"/>
      <c r="O13" s="2"/>
    </row>
    <row r="14" spans="1:15" x14ac:dyDescent="0.2">
      <c r="B14" s="2" t="s">
        <v>10</v>
      </c>
      <c r="C14" s="2">
        <v>4.5199999999999996</v>
      </c>
      <c r="D14" s="2" t="s">
        <v>6</v>
      </c>
      <c r="E14" s="2">
        <v>4.5199999999999996</v>
      </c>
      <c r="F14" s="2" t="s">
        <v>5</v>
      </c>
      <c r="G14" s="2">
        <v>6.81</v>
      </c>
      <c r="H14" s="3"/>
      <c r="I14" s="2"/>
      <c r="O14" s="2"/>
    </row>
    <row r="15" spans="1:15" x14ac:dyDescent="0.2">
      <c r="B15" s="2"/>
      <c r="C15" s="2"/>
      <c r="D15" s="2"/>
      <c r="E15" s="2"/>
      <c r="F15" s="2" t="s">
        <v>13</v>
      </c>
      <c r="G15" s="2">
        <v>4.5199999999999996</v>
      </c>
      <c r="H15" s="3"/>
      <c r="I15" s="2"/>
      <c r="O15" s="2"/>
    </row>
    <row r="16" spans="1:15" x14ac:dyDescent="0.2">
      <c r="B16" s="2"/>
      <c r="C16" s="2"/>
      <c r="D16" s="2"/>
      <c r="E16" s="2"/>
      <c r="F16" s="2" t="s">
        <v>14</v>
      </c>
      <c r="G16" s="2">
        <v>4.34</v>
      </c>
      <c r="H16" s="3"/>
      <c r="I16" s="2"/>
      <c r="O16" s="2"/>
    </row>
    <row r="17" spans="2:15" x14ac:dyDescent="0.2">
      <c r="B17" s="2"/>
      <c r="C17" s="2"/>
      <c r="D17" s="2" t="s">
        <v>7</v>
      </c>
      <c r="E17" s="2">
        <v>3.56</v>
      </c>
      <c r="F17" s="2" t="s">
        <v>5</v>
      </c>
      <c r="G17" s="2">
        <v>6.58</v>
      </c>
      <c r="H17" s="3"/>
      <c r="I17" s="2"/>
      <c r="O17" s="2"/>
    </row>
    <row r="18" spans="2:15" x14ac:dyDescent="0.2">
      <c r="B18" s="2"/>
      <c r="C18" s="2"/>
      <c r="D18" s="2"/>
      <c r="E18" s="2"/>
      <c r="F18" s="2" t="s">
        <v>13</v>
      </c>
      <c r="G18" s="2">
        <v>3.56</v>
      </c>
      <c r="H18" s="3"/>
      <c r="I18" s="2"/>
      <c r="O18" s="2"/>
    </row>
    <row r="19" spans="2:15" x14ac:dyDescent="0.2">
      <c r="B19" s="2"/>
      <c r="C19" s="2"/>
      <c r="D19" s="2"/>
      <c r="E19" s="2"/>
      <c r="F19" s="2" t="s">
        <v>14</v>
      </c>
      <c r="G19" s="2">
        <v>3.6</v>
      </c>
      <c r="H19" s="3"/>
      <c r="I19" s="2"/>
      <c r="O19" s="2"/>
    </row>
    <row r="20" spans="2:15" x14ac:dyDescent="0.2">
      <c r="B20" s="2"/>
      <c r="C20" s="2"/>
      <c r="D20" s="2"/>
      <c r="E20" s="2"/>
      <c r="F20" s="2"/>
      <c r="H20" s="3"/>
      <c r="I20" s="2"/>
      <c r="O20" s="2"/>
    </row>
    <row r="21" spans="2:15" x14ac:dyDescent="0.2">
      <c r="B21" s="2"/>
      <c r="C21" s="2"/>
      <c r="E21" s="2"/>
      <c r="H21" s="3"/>
      <c r="O21" s="2"/>
    </row>
    <row r="22" spans="2:15" x14ac:dyDescent="0.2">
      <c r="B22" s="2"/>
      <c r="C22" s="2"/>
      <c r="E22" s="2"/>
      <c r="F22" s="2"/>
      <c r="H22" s="3"/>
      <c r="O2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EB778-0356-984D-9D94-B130EF545875}">
  <dimension ref="A1:F19"/>
  <sheetViews>
    <sheetView workbookViewId="0">
      <selection activeCell="C3" sqref="C3"/>
    </sheetView>
  </sheetViews>
  <sheetFormatPr baseColWidth="10" defaultRowHeight="16" x14ac:dyDescent="0.2"/>
  <sheetData>
    <row r="1" spans="1:6" x14ac:dyDescent="0.2">
      <c r="A1" t="s">
        <v>16</v>
      </c>
    </row>
    <row r="2" spans="1:6" x14ac:dyDescent="0.2">
      <c r="A2">
        <f>Black_exposure!C2-White_exposure!C2</f>
        <v>0.58999999999999941</v>
      </c>
      <c r="B2">
        <f>A2</f>
        <v>0.58999999999999941</v>
      </c>
      <c r="C2">
        <f>Black_exposure!E2-White_exposure!E2</f>
        <v>0.58999999999999941</v>
      </c>
      <c r="D2">
        <f>C2</f>
        <v>0.58999999999999941</v>
      </c>
      <c r="E2">
        <f>Black_exposure!G2-White_exposure!G2</f>
        <v>0.54999999999999982</v>
      </c>
      <c r="F2">
        <f>E2</f>
        <v>0.54999999999999982</v>
      </c>
    </row>
    <row r="3" spans="1:6" x14ac:dyDescent="0.2">
      <c r="A3">
        <f>Black_exposure!C3-White_exposure!C3</f>
        <v>0</v>
      </c>
      <c r="B3">
        <f>IF(A3=0,B2,A3)</f>
        <v>0.58999999999999941</v>
      </c>
      <c r="C3">
        <f>Black_exposure!E3-White_exposure!E3</f>
        <v>0</v>
      </c>
      <c r="D3">
        <f>IF(C3=0,D2,C3)</f>
        <v>0.58999999999999941</v>
      </c>
      <c r="E3">
        <f>Black_exposure!G3-White_exposure!G3</f>
        <v>0.58999999999999941</v>
      </c>
      <c r="F3">
        <f>IF(E3=0,F2,E3)</f>
        <v>0.58999999999999941</v>
      </c>
    </row>
    <row r="4" spans="1:6" x14ac:dyDescent="0.2">
      <c r="A4">
        <f>Black_exposure!C4-White_exposure!C4</f>
        <v>0</v>
      </c>
      <c r="B4">
        <f t="shared" ref="B4:B18" si="0">IF(A4=0,B3,A4)</f>
        <v>0.58999999999999941</v>
      </c>
      <c r="C4">
        <f>Black_exposure!E4-White_exposure!E4</f>
        <v>0</v>
      </c>
      <c r="D4">
        <f t="shared" ref="D4:D19" si="1">IF(C4=0,D3,C4)</f>
        <v>0.58999999999999941</v>
      </c>
      <c r="E4">
        <f>Black_exposure!G4-White_exposure!G4</f>
        <v>0.5299999999999998</v>
      </c>
      <c r="F4">
        <f t="shared" ref="F4" si="2">E4</f>
        <v>0.5299999999999998</v>
      </c>
    </row>
    <row r="5" spans="1:6" x14ac:dyDescent="0.2">
      <c r="A5">
        <f>Black_exposure!C5-White_exposure!C5</f>
        <v>0</v>
      </c>
      <c r="B5">
        <f t="shared" si="0"/>
        <v>0.58999999999999941</v>
      </c>
      <c r="C5">
        <f>Black_exposure!E5-White_exposure!E5</f>
        <v>0.18000000000000016</v>
      </c>
      <c r="D5">
        <f t="shared" si="1"/>
        <v>0.18000000000000016</v>
      </c>
      <c r="E5">
        <f>Black_exposure!G5-White_exposure!G5</f>
        <v>0.37000000000000011</v>
      </c>
      <c r="F5">
        <f t="shared" ref="F5" si="3">IF(E5=0,F4,E5)</f>
        <v>0.37000000000000011</v>
      </c>
    </row>
    <row r="6" spans="1:6" x14ac:dyDescent="0.2">
      <c r="A6">
        <f>Black_exposure!C6-White_exposure!C6</f>
        <v>0</v>
      </c>
      <c r="B6">
        <f t="shared" si="0"/>
        <v>0.58999999999999941</v>
      </c>
      <c r="C6">
        <f>Black_exposure!E6-White_exposure!E6</f>
        <v>0</v>
      </c>
      <c r="D6">
        <f t="shared" si="1"/>
        <v>0.18000000000000016</v>
      </c>
      <c r="E6">
        <f>Black_exposure!G6-White_exposure!G6</f>
        <v>0.18000000000000016</v>
      </c>
      <c r="F6">
        <f t="shared" ref="F6" si="4">E6</f>
        <v>0.18000000000000016</v>
      </c>
    </row>
    <row r="7" spans="1:6" x14ac:dyDescent="0.2">
      <c r="A7">
        <f>Black_exposure!C7-White_exposure!C7</f>
        <v>0</v>
      </c>
      <c r="B7">
        <f t="shared" si="0"/>
        <v>0.58999999999999941</v>
      </c>
      <c r="C7">
        <f>Black_exposure!E7-White_exposure!E7</f>
        <v>0</v>
      </c>
      <c r="D7">
        <f t="shared" si="1"/>
        <v>0.18000000000000016</v>
      </c>
      <c r="E7">
        <f>Black_exposure!G7-White_exposure!G7</f>
        <v>8.9999999999999858E-2</v>
      </c>
      <c r="F7">
        <f t="shared" ref="F7" si="5">IF(E7=0,F6,E7)</f>
        <v>8.9999999999999858E-2</v>
      </c>
    </row>
    <row r="8" spans="1:6" x14ac:dyDescent="0.2">
      <c r="A8">
        <f>Black_exposure!C8-White_exposure!C8</f>
        <v>0.5900000000000003</v>
      </c>
      <c r="B8">
        <f t="shared" si="0"/>
        <v>0.5900000000000003</v>
      </c>
      <c r="C8">
        <f>Black_exposure!E8-White_exposure!E8</f>
        <v>0.5900000000000003</v>
      </c>
      <c r="D8">
        <f t="shared" si="1"/>
        <v>0.5900000000000003</v>
      </c>
      <c r="E8">
        <f>Black_exposure!G8-White_exposure!G8</f>
        <v>0.5600000000000005</v>
      </c>
      <c r="F8">
        <f t="shared" ref="F8" si="6">E8</f>
        <v>0.5600000000000005</v>
      </c>
    </row>
    <row r="9" spans="1:6" x14ac:dyDescent="0.2">
      <c r="A9">
        <f>Black_exposure!C9-White_exposure!C9</f>
        <v>0</v>
      </c>
      <c r="B9">
        <f t="shared" si="0"/>
        <v>0.5900000000000003</v>
      </c>
      <c r="C9">
        <f>Black_exposure!E9-White_exposure!E9</f>
        <v>0</v>
      </c>
      <c r="D9">
        <f t="shared" si="1"/>
        <v>0.5900000000000003</v>
      </c>
      <c r="E9">
        <f>Black_exposure!G9-White_exposure!G9</f>
        <v>0.5900000000000003</v>
      </c>
      <c r="F9">
        <f t="shared" ref="F9" si="7">IF(E9=0,F8,E9)</f>
        <v>0.5900000000000003</v>
      </c>
    </row>
    <row r="10" spans="1:6" x14ac:dyDescent="0.2">
      <c r="A10">
        <f>Black_exposure!C10-White_exposure!C10</f>
        <v>0</v>
      </c>
      <c r="B10">
        <f t="shared" si="0"/>
        <v>0.5900000000000003</v>
      </c>
      <c r="C10">
        <f>Black_exposure!E10-White_exposure!E10</f>
        <v>0</v>
      </c>
      <c r="D10">
        <f t="shared" si="1"/>
        <v>0.5900000000000003</v>
      </c>
      <c r="E10">
        <f>Black_exposure!G10-White_exposure!G10</f>
        <v>0.5299999999999998</v>
      </c>
      <c r="F10">
        <f t="shared" ref="F10" si="8">E10</f>
        <v>0.5299999999999998</v>
      </c>
    </row>
    <row r="11" spans="1:6" x14ac:dyDescent="0.2">
      <c r="A11">
        <f>Black_exposure!C11-White_exposure!C11</f>
        <v>0</v>
      </c>
      <c r="B11">
        <f t="shared" si="0"/>
        <v>0.5900000000000003</v>
      </c>
      <c r="C11">
        <f>Black_exposure!E11-White_exposure!E11</f>
        <v>0.18000000000000016</v>
      </c>
      <c r="D11">
        <f t="shared" si="1"/>
        <v>0.18000000000000016</v>
      </c>
      <c r="E11">
        <f>Black_exposure!G11-White_exposure!G11</f>
        <v>0.37000000000000011</v>
      </c>
      <c r="F11">
        <f t="shared" ref="F11" si="9">IF(E11=0,F10,E11)</f>
        <v>0.37000000000000011</v>
      </c>
    </row>
    <row r="12" spans="1:6" x14ac:dyDescent="0.2">
      <c r="A12">
        <f>Black_exposure!C12-White_exposure!C12</f>
        <v>0</v>
      </c>
      <c r="B12">
        <f t="shared" si="0"/>
        <v>0.5900000000000003</v>
      </c>
      <c r="C12">
        <f>Black_exposure!E12-White_exposure!E12</f>
        <v>0</v>
      </c>
      <c r="D12">
        <f t="shared" si="1"/>
        <v>0.18000000000000016</v>
      </c>
      <c r="E12">
        <f>Black_exposure!G12-White_exposure!G12</f>
        <v>0.18000000000000016</v>
      </c>
      <c r="F12">
        <f t="shared" ref="F12" si="10">E12</f>
        <v>0.18000000000000016</v>
      </c>
    </row>
    <row r="13" spans="1:6" x14ac:dyDescent="0.2">
      <c r="A13">
        <f>Black_exposure!C13-White_exposure!C13</f>
        <v>0</v>
      </c>
      <c r="B13">
        <f t="shared" si="0"/>
        <v>0.5900000000000003</v>
      </c>
      <c r="C13">
        <f>Black_exposure!E13-White_exposure!E13</f>
        <v>0</v>
      </c>
      <c r="D13">
        <f t="shared" si="1"/>
        <v>0.18000000000000016</v>
      </c>
      <c r="E13">
        <f>Black_exposure!G13-White_exposure!G13</f>
        <v>8.9999999999999858E-2</v>
      </c>
      <c r="F13">
        <f t="shared" ref="F13" si="11">IF(E13=0,F12,E13)</f>
        <v>8.9999999999999858E-2</v>
      </c>
    </row>
    <row r="14" spans="1:6" x14ac:dyDescent="0.2">
      <c r="A14">
        <f>Black_exposure!C14-White_exposure!C14</f>
        <v>0.58999999999999941</v>
      </c>
      <c r="B14">
        <f t="shared" si="0"/>
        <v>0.58999999999999941</v>
      </c>
      <c r="C14">
        <f>Black_exposure!E14-White_exposure!E14</f>
        <v>0.58999999999999941</v>
      </c>
      <c r="D14">
        <f t="shared" si="1"/>
        <v>0.58999999999999941</v>
      </c>
      <c r="E14">
        <f>Black_exposure!G14-White_exposure!G14</f>
        <v>0.54999999999999982</v>
      </c>
      <c r="F14">
        <f t="shared" ref="F14" si="12">E14</f>
        <v>0.54999999999999982</v>
      </c>
    </row>
    <row r="15" spans="1:6" x14ac:dyDescent="0.2">
      <c r="A15">
        <f>Black_exposure!C15-White_exposure!C15</f>
        <v>0</v>
      </c>
      <c r="B15">
        <f t="shared" si="0"/>
        <v>0.58999999999999941</v>
      </c>
      <c r="C15">
        <f>Black_exposure!E15-White_exposure!E15</f>
        <v>0</v>
      </c>
      <c r="D15">
        <f t="shared" si="1"/>
        <v>0.58999999999999941</v>
      </c>
      <c r="E15">
        <f>Black_exposure!G15-White_exposure!G15</f>
        <v>0.58999999999999941</v>
      </c>
      <c r="F15">
        <f t="shared" ref="F15" si="13">IF(E15=0,F14,E15)</f>
        <v>0.58999999999999941</v>
      </c>
    </row>
    <row r="16" spans="1:6" x14ac:dyDescent="0.2">
      <c r="A16">
        <f>Black_exposure!C16-White_exposure!C16</f>
        <v>0</v>
      </c>
      <c r="B16">
        <f t="shared" si="0"/>
        <v>0.58999999999999941</v>
      </c>
      <c r="C16">
        <f>Black_exposure!E16-White_exposure!E16</f>
        <v>0</v>
      </c>
      <c r="D16">
        <f t="shared" si="1"/>
        <v>0.58999999999999941</v>
      </c>
      <c r="E16">
        <f>Black_exposure!G16-White_exposure!G16</f>
        <v>0.5299999999999998</v>
      </c>
      <c r="F16">
        <f t="shared" ref="F16" si="14">E16</f>
        <v>0.5299999999999998</v>
      </c>
    </row>
    <row r="17" spans="1:6" x14ac:dyDescent="0.2">
      <c r="A17">
        <f>Black_exposure!C17-White_exposure!C17</f>
        <v>0</v>
      </c>
      <c r="B17">
        <f t="shared" si="0"/>
        <v>0.58999999999999941</v>
      </c>
      <c r="C17">
        <f>Black_exposure!E17-White_exposure!E17</f>
        <v>0.18000000000000016</v>
      </c>
      <c r="D17">
        <f t="shared" si="1"/>
        <v>0.18000000000000016</v>
      </c>
      <c r="E17">
        <f>Black_exposure!G17-White_exposure!G17</f>
        <v>0.36000000000000032</v>
      </c>
      <c r="F17">
        <f t="shared" ref="F17" si="15">IF(E17=0,F16,E17)</f>
        <v>0.36000000000000032</v>
      </c>
    </row>
    <row r="18" spans="1:6" x14ac:dyDescent="0.2">
      <c r="A18">
        <f>Black_exposure!C18-White_exposure!C18</f>
        <v>0</v>
      </c>
      <c r="B18">
        <f t="shared" si="0"/>
        <v>0.58999999999999941</v>
      </c>
      <c r="C18">
        <f>Black_exposure!E18-White_exposure!E18</f>
        <v>0</v>
      </c>
      <c r="D18">
        <f t="shared" si="1"/>
        <v>0.18000000000000016</v>
      </c>
      <c r="E18">
        <f>Black_exposure!G18-White_exposure!G18</f>
        <v>0.18000000000000016</v>
      </c>
      <c r="F18">
        <f t="shared" ref="F18" si="16">E18</f>
        <v>0.18000000000000016</v>
      </c>
    </row>
    <row r="19" spans="1:6" x14ac:dyDescent="0.2">
      <c r="A19">
        <f>Black_exposure!C19-White_exposure!C19</f>
        <v>0</v>
      </c>
      <c r="B19">
        <f>IF(A19=0,B18,A19)</f>
        <v>0.58999999999999941</v>
      </c>
      <c r="C19">
        <f>Black_exposure!E19-White_exposure!E19</f>
        <v>0</v>
      </c>
      <c r="D19">
        <f t="shared" si="1"/>
        <v>0.18000000000000016</v>
      </c>
      <c r="E19">
        <f>Black_exposure!G19-White_exposure!G19</f>
        <v>8.0000000000000071E-2</v>
      </c>
      <c r="F19">
        <f t="shared" ref="F19" si="17">IF(E19=0,F18,E19)</f>
        <v>8.0000000000000071E-2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E85A0-A967-F144-8D56-E6F5A9FE662B}">
  <dimension ref="A1:K73"/>
  <sheetViews>
    <sheetView workbookViewId="0">
      <selection activeCell="J27" sqref="J27"/>
    </sheetView>
  </sheetViews>
  <sheetFormatPr baseColWidth="10" defaultRowHeight="16" x14ac:dyDescent="0.2"/>
  <sheetData>
    <row r="1" spans="1:11" x14ac:dyDescent="0.2">
      <c r="A1" t="s">
        <v>15</v>
      </c>
      <c r="B1" s="1" t="s">
        <v>2</v>
      </c>
      <c r="D1" s="1" t="s">
        <v>1</v>
      </c>
      <c r="F1" s="1" t="s">
        <v>0</v>
      </c>
      <c r="H1" s="1" t="s">
        <v>3</v>
      </c>
      <c r="J1" s="1" t="s">
        <v>4</v>
      </c>
    </row>
    <row r="2" spans="1:11" x14ac:dyDescent="0.2">
      <c r="B2" s="3" t="s">
        <v>8</v>
      </c>
      <c r="C2">
        <v>49</v>
      </c>
      <c r="D2" s="3" t="s">
        <v>6</v>
      </c>
      <c r="E2">
        <v>49</v>
      </c>
      <c r="F2" s="3" t="s">
        <v>5</v>
      </c>
      <c r="G2">
        <v>78</v>
      </c>
      <c r="H2" s="3" t="s">
        <v>11</v>
      </c>
      <c r="I2">
        <v>78</v>
      </c>
      <c r="J2" t="s">
        <v>11</v>
      </c>
      <c r="K2">
        <v>78</v>
      </c>
    </row>
    <row r="3" spans="1:11" x14ac:dyDescent="0.2">
      <c r="B3" s="3"/>
      <c r="D3" s="3"/>
      <c r="F3" s="3"/>
      <c r="H3" s="3"/>
      <c r="J3" t="s">
        <v>12</v>
      </c>
      <c r="K3">
        <v>82</v>
      </c>
    </row>
    <row r="4" spans="1:11" x14ac:dyDescent="0.2">
      <c r="B4" s="3"/>
      <c r="D4" s="3"/>
      <c r="F4" s="3"/>
      <c r="H4" s="3" t="s">
        <v>12</v>
      </c>
      <c r="I4">
        <v>82</v>
      </c>
      <c r="J4" t="s">
        <v>11</v>
      </c>
      <c r="K4">
        <v>82</v>
      </c>
    </row>
    <row r="5" spans="1:11" x14ac:dyDescent="0.2">
      <c r="B5" s="3"/>
      <c r="D5" s="3"/>
      <c r="F5" s="3"/>
      <c r="H5" s="3"/>
      <c r="J5" t="s">
        <v>12</v>
      </c>
      <c r="K5">
        <v>86</v>
      </c>
    </row>
    <row r="6" spans="1:11" x14ac:dyDescent="0.2">
      <c r="B6" s="3"/>
      <c r="D6" s="3"/>
      <c r="F6" s="3" t="s">
        <v>13</v>
      </c>
      <c r="G6">
        <v>49</v>
      </c>
      <c r="H6" s="3" t="s">
        <v>11</v>
      </c>
      <c r="I6">
        <v>49</v>
      </c>
      <c r="J6" t="s">
        <v>11</v>
      </c>
      <c r="K6">
        <v>49</v>
      </c>
    </row>
    <row r="7" spans="1:11" x14ac:dyDescent="0.2">
      <c r="B7" s="3"/>
      <c r="D7" s="3"/>
      <c r="F7" s="3"/>
      <c r="H7" s="3"/>
      <c r="J7" t="s">
        <v>12</v>
      </c>
      <c r="K7">
        <v>51</v>
      </c>
    </row>
    <row r="8" spans="1:11" x14ac:dyDescent="0.2">
      <c r="B8" s="3"/>
      <c r="D8" s="3"/>
      <c r="F8" s="3"/>
      <c r="H8" s="3" t="s">
        <v>12</v>
      </c>
      <c r="I8">
        <v>82</v>
      </c>
      <c r="J8" t="s">
        <v>11</v>
      </c>
      <c r="K8">
        <v>51</v>
      </c>
    </row>
    <row r="9" spans="1:11" x14ac:dyDescent="0.2">
      <c r="B9" s="3"/>
      <c r="D9" s="3"/>
      <c r="F9" s="3"/>
      <c r="H9" s="3"/>
      <c r="J9" t="s">
        <v>12</v>
      </c>
      <c r="K9">
        <v>53</v>
      </c>
    </row>
    <row r="10" spans="1:11" x14ac:dyDescent="0.2">
      <c r="B10" s="3"/>
      <c r="D10" s="3"/>
      <c r="F10" s="3" t="s">
        <v>14</v>
      </c>
      <c r="G10">
        <v>47</v>
      </c>
      <c r="H10" s="3" t="s">
        <v>11</v>
      </c>
      <c r="I10">
        <v>47</v>
      </c>
      <c r="J10" t="s">
        <v>11</v>
      </c>
      <c r="K10">
        <v>47</v>
      </c>
    </row>
    <row r="11" spans="1:11" x14ac:dyDescent="0.2">
      <c r="B11" s="3"/>
      <c r="D11" s="3"/>
      <c r="F11" s="3"/>
      <c r="H11" s="3"/>
      <c r="J11" t="s">
        <v>12</v>
      </c>
      <c r="K11">
        <v>49</v>
      </c>
    </row>
    <row r="12" spans="1:11" x14ac:dyDescent="0.2">
      <c r="B12" s="3"/>
      <c r="D12" s="3"/>
      <c r="F12" s="3"/>
      <c r="H12" s="3" t="s">
        <v>12</v>
      </c>
      <c r="I12">
        <v>49</v>
      </c>
      <c r="J12" t="s">
        <v>11</v>
      </c>
      <c r="K12">
        <v>49</v>
      </c>
    </row>
    <row r="13" spans="1:11" x14ac:dyDescent="0.2">
      <c r="B13" s="3"/>
      <c r="D13" s="3"/>
      <c r="F13" s="3"/>
      <c r="H13" s="3"/>
      <c r="J13" t="s">
        <v>12</v>
      </c>
      <c r="K13">
        <v>52</v>
      </c>
    </row>
    <row r="14" spans="1:11" x14ac:dyDescent="0.2">
      <c r="B14" s="3"/>
      <c r="D14" s="3" t="s">
        <v>7</v>
      </c>
      <c r="E14">
        <v>43</v>
      </c>
      <c r="F14" s="3" t="s">
        <v>5</v>
      </c>
      <c r="G14">
        <v>78</v>
      </c>
      <c r="H14" s="3" t="s">
        <v>11</v>
      </c>
      <c r="I14">
        <v>78</v>
      </c>
      <c r="J14" t="s">
        <v>11</v>
      </c>
      <c r="K14">
        <v>78</v>
      </c>
    </row>
    <row r="15" spans="1:11" x14ac:dyDescent="0.2">
      <c r="B15" s="3"/>
      <c r="D15" s="3"/>
      <c r="F15" s="3"/>
      <c r="H15" s="3"/>
      <c r="J15" t="s">
        <v>12</v>
      </c>
      <c r="K15">
        <v>81</v>
      </c>
    </row>
    <row r="16" spans="1:11" x14ac:dyDescent="0.2">
      <c r="B16" s="3"/>
      <c r="D16" s="3"/>
      <c r="F16" s="3"/>
      <c r="H16" s="3" t="s">
        <v>12</v>
      </c>
      <c r="I16">
        <v>82</v>
      </c>
      <c r="J16" t="s">
        <v>11</v>
      </c>
      <c r="K16">
        <v>82</v>
      </c>
    </row>
    <row r="17" spans="2:11" x14ac:dyDescent="0.2">
      <c r="B17" s="3"/>
      <c r="D17" s="3"/>
      <c r="F17" s="3"/>
      <c r="H17" s="3"/>
      <c r="J17" t="s">
        <v>12</v>
      </c>
      <c r="K17">
        <v>85</v>
      </c>
    </row>
    <row r="18" spans="2:11" x14ac:dyDescent="0.2">
      <c r="B18" s="3"/>
      <c r="D18" s="3"/>
      <c r="F18" s="3" t="s">
        <v>13</v>
      </c>
      <c r="G18">
        <v>43</v>
      </c>
      <c r="H18" s="3" t="s">
        <v>11</v>
      </c>
      <c r="I18">
        <v>43</v>
      </c>
      <c r="J18" t="s">
        <v>11</v>
      </c>
      <c r="K18">
        <v>43</v>
      </c>
    </row>
    <row r="19" spans="2:11" x14ac:dyDescent="0.2">
      <c r="B19" s="3"/>
      <c r="D19" s="3"/>
      <c r="F19" s="3"/>
      <c r="H19" s="3"/>
      <c r="J19" t="s">
        <v>12</v>
      </c>
      <c r="K19">
        <v>45</v>
      </c>
    </row>
    <row r="20" spans="2:11" x14ac:dyDescent="0.2">
      <c r="B20" s="3"/>
      <c r="D20" s="3"/>
      <c r="F20" s="3"/>
      <c r="H20" s="3" t="s">
        <v>12</v>
      </c>
      <c r="I20">
        <v>45</v>
      </c>
      <c r="J20" t="s">
        <v>11</v>
      </c>
      <c r="K20">
        <v>45</v>
      </c>
    </row>
    <row r="21" spans="2:11" x14ac:dyDescent="0.2">
      <c r="B21" s="3"/>
      <c r="D21" s="3"/>
      <c r="F21" s="3"/>
      <c r="H21" s="3"/>
      <c r="J21" t="s">
        <v>12</v>
      </c>
      <c r="K21">
        <v>47</v>
      </c>
    </row>
    <row r="22" spans="2:11" x14ac:dyDescent="0.2">
      <c r="B22" s="3"/>
      <c r="D22" s="3"/>
      <c r="F22" s="3" t="s">
        <v>14</v>
      </c>
      <c r="G22">
        <v>44</v>
      </c>
      <c r="H22" s="3" t="s">
        <v>11</v>
      </c>
      <c r="I22">
        <v>44</v>
      </c>
      <c r="J22" t="s">
        <v>11</v>
      </c>
      <c r="K22">
        <v>44</v>
      </c>
    </row>
    <row r="23" spans="2:11" x14ac:dyDescent="0.2">
      <c r="B23" s="3"/>
      <c r="D23" s="3"/>
      <c r="F23" s="3"/>
      <c r="H23" s="3"/>
      <c r="J23" t="s">
        <v>12</v>
      </c>
      <c r="K23">
        <v>46</v>
      </c>
    </row>
    <row r="24" spans="2:11" x14ac:dyDescent="0.2">
      <c r="B24" s="3"/>
      <c r="D24" s="3"/>
      <c r="F24" s="3"/>
      <c r="H24" s="3" t="s">
        <v>12</v>
      </c>
      <c r="I24">
        <v>47</v>
      </c>
      <c r="J24" t="s">
        <v>11</v>
      </c>
      <c r="K24">
        <v>47</v>
      </c>
    </row>
    <row r="25" spans="2:11" x14ac:dyDescent="0.2">
      <c r="B25" s="3"/>
      <c r="D25" s="3"/>
      <c r="F25" s="3"/>
      <c r="H25" s="3"/>
      <c r="J25" t="s">
        <v>12</v>
      </c>
      <c r="K25">
        <v>49</v>
      </c>
    </row>
    <row r="26" spans="2:11" x14ac:dyDescent="0.2">
      <c r="B26" s="3" t="s">
        <v>9</v>
      </c>
      <c r="C26">
        <v>39</v>
      </c>
      <c r="D26" s="3" t="s">
        <v>6</v>
      </c>
      <c r="E26">
        <v>39</v>
      </c>
      <c r="F26" s="3" t="s">
        <v>5</v>
      </c>
      <c r="G26">
        <v>63</v>
      </c>
      <c r="H26" s="3" t="s">
        <v>11</v>
      </c>
      <c r="I26">
        <v>63</v>
      </c>
      <c r="J26" t="s">
        <v>11</v>
      </c>
      <c r="K26">
        <v>63</v>
      </c>
    </row>
    <row r="27" spans="2:11" x14ac:dyDescent="0.2">
      <c r="B27" s="3"/>
      <c r="D27" s="3"/>
      <c r="F27" s="3"/>
      <c r="H27" s="3"/>
      <c r="J27" t="s">
        <v>12</v>
      </c>
      <c r="K27">
        <v>66</v>
      </c>
    </row>
    <row r="28" spans="2:11" x14ac:dyDescent="0.2">
      <c r="B28" s="3"/>
      <c r="D28" s="3"/>
      <c r="F28" s="3"/>
      <c r="H28" s="3" t="s">
        <v>12</v>
      </c>
      <c r="I28">
        <v>66</v>
      </c>
      <c r="J28" t="s">
        <v>11</v>
      </c>
      <c r="K28">
        <v>66</v>
      </c>
    </row>
    <row r="29" spans="2:11" x14ac:dyDescent="0.2">
      <c r="B29" s="3"/>
      <c r="D29" s="3"/>
      <c r="F29" s="3"/>
      <c r="H29" s="3"/>
      <c r="J29" t="s">
        <v>12</v>
      </c>
      <c r="K29">
        <v>69</v>
      </c>
    </row>
    <row r="30" spans="2:11" x14ac:dyDescent="0.2">
      <c r="B30" s="3"/>
      <c r="D30" s="3"/>
      <c r="F30" s="3" t="s">
        <v>13</v>
      </c>
      <c r="G30">
        <v>39</v>
      </c>
      <c r="H30" s="3" t="s">
        <v>11</v>
      </c>
      <c r="I30">
        <v>39</v>
      </c>
      <c r="J30" t="s">
        <v>11</v>
      </c>
      <c r="K30">
        <v>39</v>
      </c>
    </row>
    <row r="31" spans="2:11" x14ac:dyDescent="0.2">
      <c r="B31" s="3"/>
      <c r="D31" s="3"/>
      <c r="F31" s="3"/>
      <c r="H31" s="3"/>
      <c r="J31" t="s">
        <v>12</v>
      </c>
      <c r="K31">
        <v>41</v>
      </c>
    </row>
    <row r="32" spans="2:11" x14ac:dyDescent="0.2">
      <c r="B32" s="3"/>
      <c r="D32" s="3"/>
      <c r="F32" s="3"/>
      <c r="H32" s="3" t="s">
        <v>12</v>
      </c>
      <c r="I32">
        <v>41</v>
      </c>
      <c r="J32" t="s">
        <v>11</v>
      </c>
      <c r="K32">
        <v>41</v>
      </c>
    </row>
    <row r="33" spans="2:11" x14ac:dyDescent="0.2">
      <c r="B33" s="3"/>
      <c r="D33" s="3"/>
      <c r="F33" s="3"/>
      <c r="H33" s="3"/>
      <c r="J33" t="s">
        <v>12</v>
      </c>
      <c r="K33">
        <v>43</v>
      </c>
    </row>
    <row r="34" spans="2:11" x14ac:dyDescent="0.2">
      <c r="B34" s="3"/>
      <c r="D34" s="3"/>
      <c r="F34" s="3" t="s">
        <v>14</v>
      </c>
      <c r="G34">
        <v>38</v>
      </c>
      <c r="H34" s="3" t="s">
        <v>11</v>
      </c>
      <c r="I34">
        <v>38</v>
      </c>
      <c r="J34" t="s">
        <v>11</v>
      </c>
      <c r="K34">
        <v>38</v>
      </c>
    </row>
    <row r="35" spans="2:11" x14ac:dyDescent="0.2">
      <c r="B35" s="3"/>
      <c r="D35" s="3"/>
      <c r="F35" s="3"/>
      <c r="H35" s="3"/>
      <c r="J35" t="s">
        <v>12</v>
      </c>
      <c r="K35">
        <v>40</v>
      </c>
    </row>
    <row r="36" spans="2:11" x14ac:dyDescent="0.2">
      <c r="B36" s="3"/>
      <c r="D36" s="3"/>
      <c r="F36" s="3"/>
      <c r="H36" s="3" t="s">
        <v>12</v>
      </c>
      <c r="I36">
        <v>40</v>
      </c>
      <c r="J36" t="s">
        <v>11</v>
      </c>
      <c r="K36">
        <v>40</v>
      </c>
    </row>
    <row r="37" spans="2:11" x14ac:dyDescent="0.2">
      <c r="B37" s="3"/>
      <c r="D37" s="3"/>
      <c r="F37" s="3"/>
      <c r="H37" s="3"/>
      <c r="J37" t="s">
        <v>12</v>
      </c>
      <c r="K37">
        <v>42</v>
      </c>
    </row>
    <row r="38" spans="2:11" x14ac:dyDescent="0.2">
      <c r="B38" s="3"/>
      <c r="D38" s="3" t="s">
        <v>7</v>
      </c>
      <c r="E38">
        <v>35</v>
      </c>
      <c r="F38" s="3" t="s">
        <v>5</v>
      </c>
      <c r="G38">
        <v>63</v>
      </c>
      <c r="H38" s="3" t="s">
        <v>11</v>
      </c>
      <c r="I38">
        <v>63</v>
      </c>
      <c r="J38" t="s">
        <v>11</v>
      </c>
      <c r="K38">
        <v>63</v>
      </c>
    </row>
    <row r="39" spans="2:11" x14ac:dyDescent="0.2">
      <c r="B39" s="3"/>
      <c r="D39" s="3"/>
      <c r="F39" s="3"/>
      <c r="H39" s="3"/>
      <c r="J39" t="s">
        <v>12</v>
      </c>
      <c r="K39">
        <v>66</v>
      </c>
    </row>
    <row r="40" spans="2:11" x14ac:dyDescent="0.2">
      <c r="B40" s="3"/>
      <c r="D40" s="3"/>
      <c r="F40" s="3"/>
      <c r="H40" s="3" t="s">
        <v>12</v>
      </c>
      <c r="I40">
        <v>66</v>
      </c>
      <c r="J40" t="s">
        <v>11</v>
      </c>
      <c r="K40">
        <v>66</v>
      </c>
    </row>
    <row r="41" spans="2:11" x14ac:dyDescent="0.2">
      <c r="B41" s="3"/>
      <c r="D41" s="3"/>
      <c r="F41" s="3"/>
      <c r="H41" s="3"/>
      <c r="J41" t="s">
        <v>12</v>
      </c>
      <c r="K41">
        <v>69</v>
      </c>
    </row>
    <row r="42" spans="2:11" x14ac:dyDescent="0.2">
      <c r="B42" s="3"/>
      <c r="D42" s="3"/>
      <c r="F42" s="3" t="s">
        <v>13</v>
      </c>
      <c r="G42">
        <v>35</v>
      </c>
      <c r="H42" s="3" t="s">
        <v>11</v>
      </c>
      <c r="I42">
        <v>35</v>
      </c>
      <c r="J42" t="s">
        <v>11</v>
      </c>
      <c r="K42">
        <v>35</v>
      </c>
    </row>
    <row r="43" spans="2:11" x14ac:dyDescent="0.2">
      <c r="B43" s="3"/>
      <c r="D43" s="3"/>
      <c r="F43" s="3"/>
      <c r="H43" s="3"/>
      <c r="J43" t="s">
        <v>12</v>
      </c>
      <c r="K43">
        <v>36</v>
      </c>
    </row>
    <row r="44" spans="2:11" x14ac:dyDescent="0.2">
      <c r="B44" s="3"/>
      <c r="D44" s="3"/>
      <c r="F44" s="3"/>
      <c r="H44" s="3" t="s">
        <v>12</v>
      </c>
      <c r="I44">
        <v>36</v>
      </c>
      <c r="J44" t="s">
        <v>11</v>
      </c>
      <c r="K44">
        <v>36</v>
      </c>
    </row>
    <row r="45" spans="2:11" x14ac:dyDescent="0.2">
      <c r="B45" s="3"/>
      <c r="D45" s="3"/>
      <c r="F45" s="3"/>
      <c r="H45" s="3"/>
      <c r="J45" t="s">
        <v>12</v>
      </c>
      <c r="K45">
        <v>38</v>
      </c>
    </row>
    <row r="46" spans="2:11" x14ac:dyDescent="0.2">
      <c r="B46" s="3"/>
      <c r="D46" s="3"/>
      <c r="F46" s="3" t="s">
        <v>14</v>
      </c>
      <c r="G46">
        <v>36</v>
      </c>
      <c r="H46" s="3" t="s">
        <v>11</v>
      </c>
      <c r="I46">
        <v>36</v>
      </c>
      <c r="J46" t="s">
        <v>11</v>
      </c>
      <c r="K46">
        <v>36</v>
      </c>
    </row>
    <row r="47" spans="2:11" x14ac:dyDescent="0.2">
      <c r="B47" s="3"/>
      <c r="D47" s="3"/>
      <c r="F47" s="3"/>
      <c r="H47" s="3"/>
      <c r="J47" t="s">
        <v>12</v>
      </c>
      <c r="K47">
        <v>38</v>
      </c>
    </row>
    <row r="48" spans="2:11" x14ac:dyDescent="0.2">
      <c r="B48" s="3"/>
      <c r="D48" s="3"/>
      <c r="F48" s="3"/>
      <c r="H48" s="3" t="s">
        <v>12</v>
      </c>
      <c r="I48">
        <v>38</v>
      </c>
      <c r="J48" t="s">
        <v>11</v>
      </c>
      <c r="K48">
        <v>38</v>
      </c>
    </row>
    <row r="49" spans="2:11" x14ac:dyDescent="0.2">
      <c r="B49" s="3"/>
      <c r="D49" s="3"/>
      <c r="F49" s="3"/>
      <c r="H49" s="3"/>
      <c r="J49" t="s">
        <v>12</v>
      </c>
      <c r="K49">
        <v>39</v>
      </c>
    </row>
    <row r="50" spans="2:11" x14ac:dyDescent="0.2">
      <c r="B50" s="3" t="s">
        <v>10</v>
      </c>
      <c r="C50">
        <v>59</v>
      </c>
      <c r="D50" s="3" t="s">
        <v>6</v>
      </c>
      <c r="E50">
        <v>59</v>
      </c>
      <c r="F50" s="3" t="s">
        <v>5</v>
      </c>
      <c r="G50">
        <v>95</v>
      </c>
      <c r="H50" s="3" t="s">
        <v>11</v>
      </c>
      <c r="I50">
        <v>95</v>
      </c>
      <c r="J50" t="s">
        <v>11</v>
      </c>
      <c r="K50">
        <v>95</v>
      </c>
    </row>
    <row r="51" spans="2:11" x14ac:dyDescent="0.2">
      <c r="B51" s="3"/>
      <c r="D51" s="3"/>
      <c r="F51" s="3"/>
      <c r="H51" s="3"/>
      <c r="J51" t="s">
        <v>12</v>
      </c>
      <c r="K51">
        <v>100</v>
      </c>
    </row>
    <row r="52" spans="2:11" x14ac:dyDescent="0.2">
      <c r="B52" s="3"/>
      <c r="D52" s="3"/>
      <c r="F52" s="3"/>
      <c r="H52" s="3" t="s">
        <v>12</v>
      </c>
      <c r="I52">
        <v>100</v>
      </c>
      <c r="J52" t="s">
        <v>11</v>
      </c>
      <c r="K52">
        <v>100</v>
      </c>
    </row>
    <row r="53" spans="2:11" x14ac:dyDescent="0.2">
      <c r="B53" s="3"/>
      <c r="D53" s="3"/>
      <c r="F53" s="3"/>
      <c r="H53" s="3"/>
      <c r="J53" t="s">
        <v>12</v>
      </c>
      <c r="K53">
        <v>105</v>
      </c>
    </row>
    <row r="54" spans="2:11" x14ac:dyDescent="0.2">
      <c r="B54" s="3"/>
      <c r="D54" s="3"/>
      <c r="F54" s="3" t="s">
        <v>13</v>
      </c>
      <c r="G54">
        <v>59</v>
      </c>
      <c r="H54" s="3" t="s">
        <v>11</v>
      </c>
      <c r="I54">
        <v>59</v>
      </c>
      <c r="J54" t="s">
        <v>11</v>
      </c>
      <c r="K54">
        <v>59</v>
      </c>
    </row>
    <row r="55" spans="2:11" x14ac:dyDescent="0.2">
      <c r="B55" s="3"/>
      <c r="D55" s="3"/>
      <c r="F55" s="3"/>
      <c r="H55" s="3"/>
      <c r="J55" t="s">
        <v>12</v>
      </c>
      <c r="K55">
        <v>62</v>
      </c>
    </row>
    <row r="56" spans="2:11" x14ac:dyDescent="0.2">
      <c r="B56" s="3"/>
      <c r="D56" s="3"/>
      <c r="F56" s="3"/>
      <c r="H56" s="3" t="s">
        <v>12</v>
      </c>
      <c r="I56">
        <v>62</v>
      </c>
      <c r="J56" t="s">
        <v>11</v>
      </c>
      <c r="K56">
        <v>62</v>
      </c>
    </row>
    <row r="57" spans="2:11" x14ac:dyDescent="0.2">
      <c r="B57" s="3"/>
      <c r="D57" s="3"/>
      <c r="F57" s="3"/>
      <c r="H57" s="3"/>
      <c r="J57" t="s">
        <v>12</v>
      </c>
      <c r="K57">
        <v>65</v>
      </c>
    </row>
    <row r="58" spans="2:11" x14ac:dyDescent="0.2">
      <c r="B58" s="3"/>
      <c r="D58" s="3"/>
      <c r="F58" s="3" t="s">
        <v>14</v>
      </c>
      <c r="G58">
        <v>57</v>
      </c>
      <c r="H58" s="3" t="s">
        <v>11</v>
      </c>
      <c r="I58">
        <v>57</v>
      </c>
      <c r="J58" t="s">
        <v>11</v>
      </c>
      <c r="K58">
        <v>57</v>
      </c>
    </row>
    <row r="59" spans="2:11" x14ac:dyDescent="0.2">
      <c r="B59" s="3"/>
      <c r="D59" s="3"/>
      <c r="F59" s="3"/>
      <c r="H59" s="3"/>
      <c r="J59" t="s">
        <v>12</v>
      </c>
      <c r="K59">
        <v>60</v>
      </c>
    </row>
    <row r="60" spans="2:11" x14ac:dyDescent="0.2">
      <c r="B60" s="3"/>
      <c r="D60" s="3"/>
      <c r="F60" s="3"/>
      <c r="H60" s="3" t="s">
        <v>12</v>
      </c>
      <c r="I60">
        <v>60</v>
      </c>
      <c r="J60" t="s">
        <v>11</v>
      </c>
      <c r="K60">
        <v>60</v>
      </c>
    </row>
    <row r="61" spans="2:11" x14ac:dyDescent="0.2">
      <c r="B61" s="3"/>
      <c r="D61" s="3"/>
      <c r="F61" s="3"/>
      <c r="H61" s="3"/>
      <c r="J61" t="s">
        <v>12</v>
      </c>
      <c r="K61">
        <v>63</v>
      </c>
    </row>
    <row r="62" spans="2:11" x14ac:dyDescent="0.2">
      <c r="B62" s="3"/>
      <c r="D62" s="3" t="s">
        <v>7</v>
      </c>
      <c r="E62">
        <v>52</v>
      </c>
      <c r="F62" s="3" t="s">
        <v>5</v>
      </c>
      <c r="G62">
        <v>95</v>
      </c>
      <c r="H62" s="3" t="s">
        <v>11</v>
      </c>
      <c r="I62">
        <v>95</v>
      </c>
      <c r="J62" t="s">
        <v>11</v>
      </c>
      <c r="K62">
        <v>95</v>
      </c>
    </row>
    <row r="63" spans="2:11" x14ac:dyDescent="0.2">
      <c r="B63" s="3"/>
      <c r="D63" s="3"/>
      <c r="F63" s="3"/>
      <c r="H63" s="3"/>
      <c r="J63" t="s">
        <v>12</v>
      </c>
      <c r="K63">
        <v>99</v>
      </c>
    </row>
    <row r="64" spans="2:11" x14ac:dyDescent="0.2">
      <c r="B64" s="3"/>
      <c r="D64" s="3"/>
      <c r="F64" s="3"/>
      <c r="H64" s="3" t="s">
        <v>12</v>
      </c>
      <c r="I64">
        <v>100</v>
      </c>
      <c r="J64" t="s">
        <v>11</v>
      </c>
      <c r="K64">
        <v>100</v>
      </c>
    </row>
    <row r="65" spans="2:11" x14ac:dyDescent="0.2">
      <c r="B65" s="3"/>
      <c r="D65" s="3"/>
      <c r="F65" s="3"/>
      <c r="H65" s="3"/>
      <c r="J65" t="s">
        <v>12</v>
      </c>
      <c r="K65">
        <v>104</v>
      </c>
    </row>
    <row r="66" spans="2:11" x14ac:dyDescent="0.2">
      <c r="B66" s="3"/>
      <c r="D66" s="3"/>
      <c r="F66" s="3" t="s">
        <v>13</v>
      </c>
      <c r="G66">
        <v>52</v>
      </c>
      <c r="H66" s="3" t="s">
        <v>11</v>
      </c>
      <c r="I66">
        <v>52</v>
      </c>
      <c r="J66" t="s">
        <v>11</v>
      </c>
      <c r="K66">
        <v>52</v>
      </c>
    </row>
    <row r="67" spans="2:11" x14ac:dyDescent="0.2">
      <c r="B67" s="3"/>
      <c r="D67" s="3"/>
      <c r="F67" s="3"/>
      <c r="H67" s="3"/>
      <c r="J67" t="s">
        <v>12</v>
      </c>
      <c r="K67">
        <v>55</v>
      </c>
    </row>
    <row r="68" spans="2:11" x14ac:dyDescent="0.2">
      <c r="B68" s="3"/>
      <c r="D68" s="3"/>
      <c r="F68" s="3"/>
      <c r="H68" s="3" t="s">
        <v>12</v>
      </c>
      <c r="I68">
        <v>55</v>
      </c>
      <c r="J68" t="s">
        <v>11</v>
      </c>
      <c r="K68">
        <v>55</v>
      </c>
    </row>
    <row r="69" spans="2:11" x14ac:dyDescent="0.2">
      <c r="B69" s="3"/>
      <c r="D69" s="3"/>
      <c r="F69" s="3"/>
      <c r="H69" s="3"/>
      <c r="J69" t="s">
        <v>12</v>
      </c>
      <c r="K69">
        <v>57</v>
      </c>
    </row>
    <row r="70" spans="2:11" x14ac:dyDescent="0.2">
      <c r="B70" s="3"/>
      <c r="D70" s="3"/>
      <c r="F70" s="3" t="s">
        <v>14</v>
      </c>
      <c r="G70">
        <v>54</v>
      </c>
      <c r="H70" s="3" t="s">
        <v>11</v>
      </c>
      <c r="I70">
        <v>54</v>
      </c>
      <c r="J70" t="s">
        <v>11</v>
      </c>
      <c r="K70">
        <v>54</v>
      </c>
    </row>
    <row r="71" spans="2:11" x14ac:dyDescent="0.2">
      <c r="B71" s="3"/>
      <c r="D71" s="3"/>
      <c r="F71" s="3"/>
      <c r="H71" s="3"/>
      <c r="J71" t="s">
        <v>12</v>
      </c>
      <c r="K71">
        <v>57</v>
      </c>
    </row>
    <row r="72" spans="2:11" x14ac:dyDescent="0.2">
      <c r="B72" s="3"/>
      <c r="D72" s="3"/>
      <c r="F72" s="3"/>
      <c r="H72" s="3" t="s">
        <v>12</v>
      </c>
      <c r="I72">
        <v>57</v>
      </c>
      <c r="J72" t="s">
        <v>11</v>
      </c>
      <c r="K72">
        <v>57</v>
      </c>
    </row>
    <row r="73" spans="2:11" x14ac:dyDescent="0.2">
      <c r="B73" s="3"/>
      <c r="D73" s="3"/>
      <c r="F73" s="3"/>
      <c r="H73" s="3"/>
      <c r="J73" t="s">
        <v>12</v>
      </c>
      <c r="K73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1ABAB-7D0C-F945-8AD7-74ACF58FEBC8}">
  <dimension ref="A1:K73"/>
  <sheetViews>
    <sheetView workbookViewId="0">
      <selection activeCell="F1" sqref="F1:F1048576"/>
    </sheetView>
  </sheetViews>
  <sheetFormatPr baseColWidth="10" defaultRowHeight="16" x14ac:dyDescent="0.2"/>
  <sheetData>
    <row r="1" spans="1:11" x14ac:dyDescent="0.2">
      <c r="A1" t="s">
        <v>15</v>
      </c>
      <c r="B1" s="1" t="s">
        <v>2</v>
      </c>
      <c r="C1" s="1"/>
      <c r="D1" s="1" t="s">
        <v>1</v>
      </c>
      <c r="F1" s="1" t="s">
        <v>0</v>
      </c>
      <c r="H1" s="1" t="s">
        <v>3</v>
      </c>
      <c r="J1" s="1" t="s">
        <v>4</v>
      </c>
    </row>
    <row r="2" spans="1:11" x14ac:dyDescent="0.2">
      <c r="B2" s="3" t="s">
        <v>8</v>
      </c>
      <c r="C2" s="3">
        <v>16</v>
      </c>
      <c r="D2" s="3" t="s">
        <v>6</v>
      </c>
      <c r="E2">
        <v>16</v>
      </c>
      <c r="F2" s="3" t="s">
        <v>5</v>
      </c>
      <c r="G2">
        <v>24</v>
      </c>
      <c r="H2" s="3" t="s">
        <v>11</v>
      </c>
      <c r="I2">
        <v>24</v>
      </c>
      <c r="J2" t="s">
        <v>11</v>
      </c>
      <c r="K2">
        <v>24</v>
      </c>
    </row>
    <row r="3" spans="1:11" x14ac:dyDescent="0.2">
      <c r="B3" s="3"/>
      <c r="C3" s="3" t="s">
        <v>17</v>
      </c>
      <c r="D3" s="3"/>
      <c r="E3" t="s">
        <v>17</v>
      </c>
      <c r="F3" s="3"/>
      <c r="G3" t="s">
        <v>17</v>
      </c>
      <c r="H3" s="3"/>
      <c r="I3" t="s">
        <v>17</v>
      </c>
      <c r="J3" t="s">
        <v>12</v>
      </c>
      <c r="K3">
        <v>74</v>
      </c>
    </row>
    <row r="4" spans="1:11" x14ac:dyDescent="0.2">
      <c r="B4" s="3"/>
      <c r="C4" s="3" t="s">
        <v>17</v>
      </c>
      <c r="D4" s="3"/>
      <c r="E4" t="s">
        <v>17</v>
      </c>
      <c r="F4" s="3"/>
      <c r="G4" t="s">
        <v>17</v>
      </c>
      <c r="H4" s="3" t="s">
        <v>12</v>
      </c>
      <c r="I4">
        <v>26</v>
      </c>
      <c r="J4" t="s">
        <v>11</v>
      </c>
      <c r="K4">
        <v>26</v>
      </c>
    </row>
    <row r="5" spans="1:11" x14ac:dyDescent="0.2">
      <c r="B5" s="3"/>
      <c r="C5" s="3" t="s">
        <v>17</v>
      </c>
      <c r="D5" s="3"/>
      <c r="E5" t="s">
        <v>17</v>
      </c>
      <c r="F5" s="3"/>
      <c r="G5" t="s">
        <v>17</v>
      </c>
      <c r="H5" s="3"/>
      <c r="I5" t="s">
        <v>17</v>
      </c>
      <c r="J5" t="s">
        <v>12</v>
      </c>
      <c r="K5">
        <v>80</v>
      </c>
    </row>
    <row r="6" spans="1:11" x14ac:dyDescent="0.2">
      <c r="B6" s="3"/>
      <c r="C6" s="3" t="s">
        <v>17</v>
      </c>
      <c r="D6" s="3"/>
      <c r="E6" t="s">
        <v>17</v>
      </c>
      <c r="F6" s="3" t="s">
        <v>13</v>
      </c>
      <c r="G6">
        <v>16</v>
      </c>
      <c r="H6" s="3" t="s">
        <v>11</v>
      </c>
      <c r="I6">
        <v>16</v>
      </c>
      <c r="J6" t="s">
        <v>11</v>
      </c>
      <c r="K6">
        <v>16</v>
      </c>
    </row>
    <row r="7" spans="1:11" x14ac:dyDescent="0.2">
      <c r="B7" s="3"/>
      <c r="C7" s="3" t="s">
        <v>17</v>
      </c>
      <c r="D7" s="3"/>
      <c r="E7" t="s">
        <v>17</v>
      </c>
      <c r="F7" s="3"/>
      <c r="G7" t="s">
        <v>17</v>
      </c>
      <c r="H7" s="3"/>
      <c r="I7" t="s">
        <v>17</v>
      </c>
      <c r="J7" t="s">
        <v>12</v>
      </c>
      <c r="K7">
        <v>49</v>
      </c>
    </row>
    <row r="8" spans="1:11" x14ac:dyDescent="0.2">
      <c r="B8" s="3"/>
      <c r="C8" s="3" t="s">
        <v>17</v>
      </c>
      <c r="D8" s="3"/>
      <c r="E8" t="s">
        <v>17</v>
      </c>
      <c r="F8" s="3"/>
      <c r="G8" t="s">
        <v>17</v>
      </c>
      <c r="H8" s="3" t="s">
        <v>12</v>
      </c>
      <c r="I8">
        <v>17</v>
      </c>
      <c r="J8" t="s">
        <v>11</v>
      </c>
      <c r="K8">
        <v>17</v>
      </c>
    </row>
    <row r="9" spans="1:11" x14ac:dyDescent="0.2">
      <c r="B9" s="3"/>
      <c r="C9" s="3" t="s">
        <v>17</v>
      </c>
      <c r="D9" s="3"/>
      <c r="E9" t="s">
        <v>17</v>
      </c>
      <c r="F9" s="3"/>
      <c r="G9" t="s">
        <v>17</v>
      </c>
      <c r="H9" s="3"/>
      <c r="I9" t="s">
        <v>17</v>
      </c>
      <c r="J9" t="s">
        <v>12</v>
      </c>
      <c r="K9">
        <v>53</v>
      </c>
    </row>
    <row r="10" spans="1:11" x14ac:dyDescent="0.2">
      <c r="B10" s="3"/>
      <c r="C10" s="3" t="s">
        <v>17</v>
      </c>
      <c r="D10" s="3"/>
      <c r="E10" t="s">
        <v>17</v>
      </c>
      <c r="F10" s="3" t="s">
        <v>14</v>
      </c>
      <c r="G10">
        <v>15</v>
      </c>
      <c r="H10" s="3" t="s">
        <v>11</v>
      </c>
      <c r="I10">
        <v>15</v>
      </c>
      <c r="J10" t="s">
        <v>11</v>
      </c>
      <c r="K10">
        <v>15</v>
      </c>
    </row>
    <row r="11" spans="1:11" x14ac:dyDescent="0.2">
      <c r="B11" s="3"/>
      <c r="C11" s="3" t="s">
        <v>17</v>
      </c>
      <c r="D11" s="3"/>
      <c r="E11" t="s">
        <v>17</v>
      </c>
      <c r="F11" s="3"/>
      <c r="G11" t="s">
        <v>17</v>
      </c>
      <c r="H11" s="3"/>
      <c r="I11" t="s">
        <v>17</v>
      </c>
      <c r="J11" t="s">
        <v>12</v>
      </c>
      <c r="K11">
        <v>47</v>
      </c>
    </row>
    <row r="12" spans="1:11" x14ac:dyDescent="0.2">
      <c r="B12" s="3"/>
      <c r="C12" s="3" t="s">
        <v>17</v>
      </c>
      <c r="D12" s="3"/>
      <c r="E12" t="s">
        <v>17</v>
      </c>
      <c r="F12" s="3"/>
      <c r="G12" t="s">
        <v>17</v>
      </c>
      <c r="H12" s="3" t="s">
        <v>12</v>
      </c>
      <c r="I12">
        <v>16</v>
      </c>
      <c r="J12" t="s">
        <v>11</v>
      </c>
      <c r="K12">
        <v>16</v>
      </c>
    </row>
    <row r="13" spans="1:11" x14ac:dyDescent="0.2">
      <c r="B13" s="3"/>
      <c r="C13" s="3" t="s">
        <v>17</v>
      </c>
      <c r="D13" s="3"/>
      <c r="E13" t="s">
        <v>17</v>
      </c>
      <c r="F13" s="3"/>
      <c r="G13" t="s">
        <v>17</v>
      </c>
      <c r="H13" s="3"/>
      <c r="I13" t="s">
        <v>17</v>
      </c>
      <c r="J13" t="s">
        <v>12</v>
      </c>
      <c r="K13">
        <v>51</v>
      </c>
    </row>
    <row r="14" spans="1:11" x14ac:dyDescent="0.2">
      <c r="B14" s="3"/>
      <c r="C14" s="3" t="s">
        <v>17</v>
      </c>
      <c r="D14" s="3" t="s">
        <v>7</v>
      </c>
      <c r="E14">
        <v>13</v>
      </c>
      <c r="F14" s="3" t="s">
        <v>5</v>
      </c>
      <c r="G14">
        <v>23</v>
      </c>
      <c r="H14" s="3" t="s">
        <v>11</v>
      </c>
      <c r="I14">
        <v>23</v>
      </c>
      <c r="J14" t="s">
        <v>11</v>
      </c>
      <c r="K14">
        <v>23</v>
      </c>
    </row>
    <row r="15" spans="1:11" x14ac:dyDescent="0.2">
      <c r="B15" s="3"/>
      <c r="C15" s="3" t="s">
        <v>17</v>
      </c>
      <c r="D15" s="3"/>
      <c r="E15" t="s">
        <v>17</v>
      </c>
      <c r="F15" s="3"/>
      <c r="G15" t="s">
        <v>17</v>
      </c>
      <c r="H15" s="3"/>
      <c r="I15" t="s">
        <v>17</v>
      </c>
      <c r="J15" t="s">
        <v>12</v>
      </c>
      <c r="K15">
        <v>72</v>
      </c>
    </row>
    <row r="16" spans="1:11" x14ac:dyDescent="0.2">
      <c r="B16" s="3"/>
      <c r="C16" s="3" t="s">
        <v>17</v>
      </c>
      <c r="D16" s="3"/>
      <c r="E16" t="s">
        <v>17</v>
      </c>
      <c r="F16" s="3"/>
      <c r="G16" t="s">
        <v>17</v>
      </c>
      <c r="H16" s="3" t="s">
        <v>12</v>
      </c>
      <c r="I16">
        <v>25</v>
      </c>
      <c r="J16" t="s">
        <v>11</v>
      </c>
      <c r="K16">
        <v>25</v>
      </c>
    </row>
    <row r="17" spans="2:11" x14ac:dyDescent="0.2">
      <c r="B17" s="3"/>
      <c r="C17" s="3" t="s">
        <v>17</v>
      </c>
      <c r="D17" s="3"/>
      <c r="E17" t="s">
        <v>17</v>
      </c>
      <c r="F17" s="3"/>
      <c r="G17" t="s">
        <v>17</v>
      </c>
      <c r="H17" s="3"/>
      <c r="I17" t="s">
        <v>17</v>
      </c>
      <c r="J17" t="s">
        <v>12</v>
      </c>
      <c r="K17">
        <v>78</v>
      </c>
    </row>
    <row r="18" spans="2:11" x14ac:dyDescent="0.2">
      <c r="B18" s="3"/>
      <c r="C18" s="3" t="s">
        <v>17</v>
      </c>
      <c r="D18" s="3"/>
      <c r="E18" t="s">
        <v>17</v>
      </c>
      <c r="F18" s="3" t="s">
        <v>13</v>
      </c>
      <c r="G18">
        <v>13</v>
      </c>
      <c r="H18" s="3" t="s">
        <v>11</v>
      </c>
      <c r="I18">
        <v>13</v>
      </c>
      <c r="J18" t="s">
        <v>11</v>
      </c>
      <c r="K18">
        <v>13</v>
      </c>
    </row>
    <row r="19" spans="2:11" x14ac:dyDescent="0.2">
      <c r="B19" s="3"/>
      <c r="C19" s="3" t="s">
        <v>17</v>
      </c>
      <c r="D19" s="3"/>
      <c r="E19" t="s">
        <v>17</v>
      </c>
      <c r="F19" s="3"/>
      <c r="G19" t="s">
        <v>17</v>
      </c>
      <c r="H19" s="3"/>
      <c r="I19" t="s">
        <v>17</v>
      </c>
      <c r="J19" t="s">
        <v>12</v>
      </c>
      <c r="K19">
        <v>40</v>
      </c>
    </row>
    <row r="20" spans="2:11" x14ac:dyDescent="0.2">
      <c r="B20" s="3"/>
      <c r="C20" s="3" t="s">
        <v>17</v>
      </c>
      <c r="D20" s="3"/>
      <c r="E20" t="s">
        <v>17</v>
      </c>
      <c r="F20" s="3"/>
      <c r="G20" t="s">
        <v>17</v>
      </c>
      <c r="H20" s="3" t="s">
        <v>12</v>
      </c>
      <c r="I20">
        <v>14</v>
      </c>
      <c r="J20" t="s">
        <v>11</v>
      </c>
      <c r="K20">
        <v>14</v>
      </c>
    </row>
    <row r="21" spans="2:11" x14ac:dyDescent="0.2">
      <c r="B21" s="3"/>
      <c r="C21" s="3" t="s">
        <v>17</v>
      </c>
      <c r="D21" s="3"/>
      <c r="E21" t="s">
        <v>17</v>
      </c>
      <c r="F21" s="3"/>
      <c r="G21" t="s">
        <v>17</v>
      </c>
      <c r="H21" s="3"/>
      <c r="I21" t="s">
        <v>17</v>
      </c>
      <c r="J21" t="s">
        <v>12</v>
      </c>
      <c r="K21">
        <v>43</v>
      </c>
    </row>
    <row r="22" spans="2:11" x14ac:dyDescent="0.2">
      <c r="B22" s="3"/>
      <c r="C22" s="3" t="s">
        <v>17</v>
      </c>
      <c r="D22" s="3"/>
      <c r="E22" t="s">
        <v>17</v>
      </c>
      <c r="F22" s="3" t="s">
        <v>14</v>
      </c>
      <c r="G22">
        <v>13</v>
      </c>
      <c r="H22" s="3" t="s">
        <v>11</v>
      </c>
      <c r="I22">
        <v>13</v>
      </c>
      <c r="J22" t="s">
        <v>11</v>
      </c>
      <c r="K22">
        <v>13</v>
      </c>
    </row>
    <row r="23" spans="2:11" x14ac:dyDescent="0.2">
      <c r="B23" s="3"/>
      <c r="C23" s="3" t="s">
        <v>17</v>
      </c>
      <c r="D23" s="3"/>
      <c r="E23" t="s">
        <v>17</v>
      </c>
      <c r="F23" s="3"/>
      <c r="G23" t="s">
        <v>17</v>
      </c>
      <c r="H23" s="3"/>
      <c r="I23" t="s">
        <v>17</v>
      </c>
      <c r="J23" t="s">
        <v>12</v>
      </c>
      <c r="K23">
        <v>40</v>
      </c>
    </row>
    <row r="24" spans="2:11" x14ac:dyDescent="0.2">
      <c r="B24" s="3"/>
      <c r="C24" s="3" t="s">
        <v>17</v>
      </c>
      <c r="D24" s="3"/>
      <c r="E24" t="s">
        <v>17</v>
      </c>
      <c r="F24" s="3"/>
      <c r="G24" t="s">
        <v>17</v>
      </c>
      <c r="H24" s="3" t="s">
        <v>12</v>
      </c>
      <c r="I24">
        <v>14</v>
      </c>
      <c r="J24" t="s">
        <v>11</v>
      </c>
      <c r="K24">
        <v>14</v>
      </c>
    </row>
    <row r="25" spans="2:11" x14ac:dyDescent="0.2">
      <c r="B25" s="3"/>
      <c r="C25" s="3" t="s">
        <v>17</v>
      </c>
      <c r="D25" s="3"/>
      <c r="E25" t="s">
        <v>17</v>
      </c>
      <c r="F25" s="3"/>
      <c r="G25" t="s">
        <v>17</v>
      </c>
      <c r="H25" s="3"/>
      <c r="I25" t="s">
        <v>17</v>
      </c>
      <c r="J25" t="s">
        <v>12</v>
      </c>
      <c r="K25">
        <v>44</v>
      </c>
    </row>
    <row r="26" spans="2:11" x14ac:dyDescent="0.2">
      <c r="B26" s="3" t="s">
        <v>9</v>
      </c>
      <c r="C26" s="3">
        <v>13</v>
      </c>
      <c r="D26" s="3" t="s">
        <v>6</v>
      </c>
      <c r="E26">
        <v>13</v>
      </c>
      <c r="F26" s="3" t="s">
        <v>5</v>
      </c>
      <c r="G26">
        <v>19</v>
      </c>
      <c r="H26" s="3" t="s">
        <v>11</v>
      </c>
      <c r="I26">
        <v>19</v>
      </c>
      <c r="J26" t="s">
        <v>11</v>
      </c>
      <c r="K26">
        <v>19</v>
      </c>
    </row>
    <row r="27" spans="2:11" x14ac:dyDescent="0.2">
      <c r="B27" s="3"/>
      <c r="C27" s="3" t="s">
        <v>17</v>
      </c>
      <c r="D27" s="3"/>
      <c r="E27" t="s">
        <v>17</v>
      </c>
      <c r="F27" s="3"/>
      <c r="G27" t="s">
        <v>17</v>
      </c>
      <c r="H27" s="3"/>
      <c r="I27" t="s">
        <v>17</v>
      </c>
      <c r="J27" t="s">
        <v>12</v>
      </c>
      <c r="K27">
        <v>59</v>
      </c>
    </row>
    <row r="28" spans="2:11" x14ac:dyDescent="0.2">
      <c r="B28" s="3"/>
      <c r="C28" s="3" t="s">
        <v>17</v>
      </c>
      <c r="D28" s="3"/>
      <c r="E28" t="s">
        <v>17</v>
      </c>
      <c r="F28" s="3"/>
      <c r="G28" t="s">
        <v>17</v>
      </c>
      <c r="H28" s="3" t="s">
        <v>12</v>
      </c>
      <c r="I28">
        <v>21</v>
      </c>
      <c r="J28" t="s">
        <v>11</v>
      </c>
      <c r="K28">
        <v>21</v>
      </c>
    </row>
    <row r="29" spans="2:11" x14ac:dyDescent="0.2">
      <c r="B29" s="3"/>
      <c r="C29" s="3" t="s">
        <v>17</v>
      </c>
      <c r="D29" s="3"/>
      <c r="E29" t="s">
        <v>17</v>
      </c>
      <c r="F29" s="3"/>
      <c r="G29" t="s">
        <v>17</v>
      </c>
      <c r="H29" s="3"/>
      <c r="I29" t="s">
        <v>17</v>
      </c>
      <c r="J29" t="s">
        <v>12</v>
      </c>
      <c r="K29">
        <v>66</v>
      </c>
    </row>
    <row r="30" spans="2:11" x14ac:dyDescent="0.2">
      <c r="B30" s="3"/>
      <c r="C30" s="3" t="s">
        <v>17</v>
      </c>
      <c r="D30" s="3"/>
      <c r="E30" t="s">
        <v>17</v>
      </c>
      <c r="F30" s="3" t="s">
        <v>13</v>
      </c>
      <c r="G30">
        <v>13</v>
      </c>
      <c r="H30" s="3" t="s">
        <v>11</v>
      </c>
      <c r="I30">
        <v>13</v>
      </c>
      <c r="J30" t="s">
        <v>11</v>
      </c>
      <c r="K30">
        <v>13</v>
      </c>
    </row>
    <row r="31" spans="2:11" x14ac:dyDescent="0.2">
      <c r="B31" s="3"/>
      <c r="C31" s="3" t="s">
        <v>17</v>
      </c>
      <c r="D31" s="3"/>
      <c r="E31" t="s">
        <v>17</v>
      </c>
      <c r="F31" s="3"/>
      <c r="G31" t="s">
        <v>17</v>
      </c>
      <c r="H31" s="3"/>
      <c r="I31" t="s">
        <v>17</v>
      </c>
      <c r="J31" t="s">
        <v>12</v>
      </c>
      <c r="K31">
        <v>39</v>
      </c>
    </row>
    <row r="32" spans="2:11" x14ac:dyDescent="0.2">
      <c r="B32" s="3"/>
      <c r="C32" s="3" t="s">
        <v>17</v>
      </c>
      <c r="D32" s="3"/>
      <c r="E32" t="s">
        <v>17</v>
      </c>
      <c r="F32" s="3"/>
      <c r="G32" t="s">
        <v>17</v>
      </c>
      <c r="H32" s="3" t="s">
        <v>12</v>
      </c>
      <c r="I32">
        <v>14</v>
      </c>
      <c r="J32" t="s">
        <v>11</v>
      </c>
      <c r="K32">
        <v>14</v>
      </c>
    </row>
    <row r="33" spans="2:11" x14ac:dyDescent="0.2">
      <c r="B33" s="3"/>
      <c r="C33" s="3" t="s">
        <v>17</v>
      </c>
      <c r="D33" s="3"/>
      <c r="E33" t="s">
        <v>17</v>
      </c>
      <c r="F33" s="3"/>
      <c r="G33" t="s">
        <v>17</v>
      </c>
      <c r="H33" s="3"/>
      <c r="I33" t="s">
        <v>17</v>
      </c>
      <c r="J33" t="s">
        <v>12</v>
      </c>
      <c r="K33">
        <v>44</v>
      </c>
    </row>
    <row r="34" spans="2:11" x14ac:dyDescent="0.2">
      <c r="B34" s="3"/>
      <c r="C34" s="3" t="s">
        <v>17</v>
      </c>
      <c r="D34" s="3"/>
      <c r="E34" t="s">
        <v>17</v>
      </c>
      <c r="F34" s="3" t="s">
        <v>14</v>
      </c>
      <c r="G34">
        <v>12</v>
      </c>
      <c r="H34" s="3" t="s">
        <v>11</v>
      </c>
      <c r="I34">
        <v>12</v>
      </c>
      <c r="J34" t="s">
        <v>11</v>
      </c>
      <c r="K34">
        <v>12</v>
      </c>
    </row>
    <row r="35" spans="2:11" x14ac:dyDescent="0.2">
      <c r="B35" s="3"/>
      <c r="C35" s="3" t="s">
        <v>17</v>
      </c>
      <c r="D35" s="3"/>
      <c r="E35" t="s">
        <v>17</v>
      </c>
      <c r="F35" s="3"/>
      <c r="G35" t="s">
        <v>17</v>
      </c>
      <c r="H35" s="3"/>
      <c r="I35" t="s">
        <v>17</v>
      </c>
      <c r="J35" t="s">
        <v>12</v>
      </c>
      <c r="K35">
        <v>38</v>
      </c>
    </row>
    <row r="36" spans="2:11" x14ac:dyDescent="0.2">
      <c r="B36" s="3"/>
      <c r="C36" s="3" t="s">
        <v>17</v>
      </c>
      <c r="D36" s="3"/>
      <c r="E36" t="s">
        <v>17</v>
      </c>
      <c r="F36" s="3"/>
      <c r="G36" t="s">
        <v>17</v>
      </c>
      <c r="H36" s="3" t="s">
        <v>12</v>
      </c>
      <c r="I36">
        <v>13</v>
      </c>
      <c r="J36" t="s">
        <v>11</v>
      </c>
      <c r="K36">
        <v>13</v>
      </c>
    </row>
    <row r="37" spans="2:11" x14ac:dyDescent="0.2">
      <c r="B37" s="3"/>
      <c r="C37" s="3" t="s">
        <v>17</v>
      </c>
      <c r="D37" s="3"/>
      <c r="E37" t="s">
        <v>17</v>
      </c>
      <c r="F37" s="3"/>
      <c r="G37" t="s">
        <v>17</v>
      </c>
      <c r="H37" s="3"/>
      <c r="I37" t="s">
        <v>17</v>
      </c>
      <c r="J37" t="s">
        <v>12</v>
      </c>
      <c r="K37">
        <v>42</v>
      </c>
    </row>
    <row r="38" spans="2:11" x14ac:dyDescent="0.2">
      <c r="B38" s="3"/>
      <c r="C38" s="3" t="s">
        <v>17</v>
      </c>
      <c r="D38" s="3" t="s">
        <v>7</v>
      </c>
      <c r="E38">
        <v>10</v>
      </c>
      <c r="F38" s="3" t="s">
        <v>5</v>
      </c>
      <c r="G38">
        <v>19</v>
      </c>
      <c r="H38" s="3" t="s">
        <v>11</v>
      </c>
      <c r="I38">
        <v>19</v>
      </c>
      <c r="J38" t="s">
        <v>11</v>
      </c>
      <c r="K38">
        <v>19</v>
      </c>
    </row>
    <row r="39" spans="2:11" x14ac:dyDescent="0.2">
      <c r="B39" s="3"/>
      <c r="C39" s="3" t="s">
        <v>17</v>
      </c>
      <c r="D39" s="3"/>
      <c r="E39" t="s">
        <v>17</v>
      </c>
      <c r="F39" s="3"/>
      <c r="G39" t="s">
        <v>17</v>
      </c>
      <c r="H39" s="3"/>
      <c r="I39" t="s">
        <v>17</v>
      </c>
      <c r="J39" t="s">
        <v>12</v>
      </c>
      <c r="K39">
        <v>58</v>
      </c>
    </row>
    <row r="40" spans="2:11" x14ac:dyDescent="0.2">
      <c r="B40" s="3"/>
      <c r="C40" s="3" t="s">
        <v>17</v>
      </c>
      <c r="D40" s="3"/>
      <c r="E40" t="s">
        <v>17</v>
      </c>
      <c r="F40" s="3"/>
      <c r="G40" t="s">
        <v>17</v>
      </c>
      <c r="H40" s="3" t="s">
        <v>12</v>
      </c>
      <c r="I40">
        <v>21</v>
      </c>
      <c r="J40" t="s">
        <v>11</v>
      </c>
      <c r="K40">
        <v>21</v>
      </c>
    </row>
    <row r="41" spans="2:11" x14ac:dyDescent="0.2">
      <c r="B41" s="3"/>
      <c r="C41" s="3" t="s">
        <v>17</v>
      </c>
      <c r="D41" s="3"/>
      <c r="E41" t="s">
        <v>17</v>
      </c>
      <c r="F41" s="3"/>
      <c r="G41" t="s">
        <v>17</v>
      </c>
      <c r="H41" s="3"/>
      <c r="I41" t="s">
        <v>17</v>
      </c>
      <c r="J41" t="s">
        <v>12</v>
      </c>
      <c r="K41">
        <v>64</v>
      </c>
    </row>
    <row r="42" spans="2:11" x14ac:dyDescent="0.2">
      <c r="B42" s="3"/>
      <c r="C42" s="3" t="s">
        <v>17</v>
      </c>
      <c r="D42" s="3"/>
      <c r="E42" t="s">
        <v>17</v>
      </c>
      <c r="F42" s="3" t="s">
        <v>13</v>
      </c>
      <c r="G42">
        <v>10</v>
      </c>
      <c r="H42" s="3" t="s">
        <v>11</v>
      </c>
      <c r="I42">
        <v>10</v>
      </c>
      <c r="J42" t="s">
        <v>11</v>
      </c>
      <c r="K42">
        <v>10</v>
      </c>
    </row>
    <row r="43" spans="2:11" x14ac:dyDescent="0.2">
      <c r="B43" s="3"/>
      <c r="C43" s="3" t="s">
        <v>17</v>
      </c>
      <c r="D43" s="3"/>
      <c r="E43" t="s">
        <v>17</v>
      </c>
      <c r="F43" s="3"/>
      <c r="G43" t="s">
        <v>17</v>
      </c>
      <c r="H43" s="3"/>
      <c r="I43" t="s">
        <v>17</v>
      </c>
      <c r="J43" t="s">
        <v>12</v>
      </c>
      <c r="K43">
        <v>32</v>
      </c>
    </row>
    <row r="44" spans="2:11" x14ac:dyDescent="0.2">
      <c r="B44" s="3"/>
      <c r="C44" s="3" t="s">
        <v>17</v>
      </c>
      <c r="D44" s="3"/>
      <c r="E44" t="s">
        <v>17</v>
      </c>
      <c r="F44" s="3"/>
      <c r="G44" t="s">
        <v>17</v>
      </c>
      <c r="H44" s="3" t="s">
        <v>12</v>
      </c>
      <c r="I44">
        <v>11</v>
      </c>
      <c r="J44" t="s">
        <v>11</v>
      </c>
      <c r="K44">
        <v>11</v>
      </c>
    </row>
    <row r="45" spans="2:11" x14ac:dyDescent="0.2">
      <c r="B45" s="3"/>
      <c r="C45" s="3" t="s">
        <v>17</v>
      </c>
      <c r="D45" s="3"/>
      <c r="E45" t="s">
        <v>17</v>
      </c>
      <c r="F45" s="3"/>
      <c r="G45" t="s">
        <v>17</v>
      </c>
      <c r="H45" s="3"/>
      <c r="I45" t="s">
        <v>17</v>
      </c>
      <c r="J45" t="s">
        <v>12</v>
      </c>
      <c r="K45">
        <v>36</v>
      </c>
    </row>
    <row r="46" spans="2:11" x14ac:dyDescent="0.2">
      <c r="B46" s="3"/>
      <c r="C46" s="3" t="s">
        <v>17</v>
      </c>
      <c r="D46" s="3"/>
      <c r="E46" t="s">
        <v>17</v>
      </c>
      <c r="F46" s="3" t="s">
        <v>14</v>
      </c>
      <c r="G46">
        <v>10</v>
      </c>
      <c r="H46" s="3" t="s">
        <v>11</v>
      </c>
      <c r="I46">
        <v>10</v>
      </c>
      <c r="J46" t="s">
        <v>11</v>
      </c>
      <c r="K46">
        <v>10</v>
      </c>
    </row>
    <row r="47" spans="2:11" x14ac:dyDescent="0.2">
      <c r="B47" s="3"/>
      <c r="C47" s="3" t="s">
        <v>17</v>
      </c>
      <c r="D47" s="3"/>
      <c r="E47" t="s">
        <v>17</v>
      </c>
      <c r="F47" s="3"/>
      <c r="G47" t="s">
        <v>17</v>
      </c>
      <c r="H47" s="3"/>
      <c r="I47" t="s">
        <v>17</v>
      </c>
      <c r="J47" t="s">
        <v>12</v>
      </c>
      <c r="K47">
        <v>32</v>
      </c>
    </row>
    <row r="48" spans="2:11" x14ac:dyDescent="0.2">
      <c r="B48" s="3"/>
      <c r="C48" s="3" t="s">
        <v>17</v>
      </c>
      <c r="D48" s="3"/>
      <c r="E48" t="s">
        <v>17</v>
      </c>
      <c r="F48" s="3"/>
      <c r="G48" t="s">
        <v>17</v>
      </c>
      <c r="H48" s="3" t="s">
        <v>12</v>
      </c>
      <c r="I48">
        <v>11</v>
      </c>
      <c r="J48" t="s">
        <v>11</v>
      </c>
      <c r="K48">
        <v>11</v>
      </c>
    </row>
    <row r="49" spans="2:11" x14ac:dyDescent="0.2">
      <c r="B49" s="3"/>
      <c r="C49" s="3" t="s">
        <v>17</v>
      </c>
      <c r="D49" s="3"/>
      <c r="E49" t="s">
        <v>17</v>
      </c>
      <c r="F49" s="3"/>
      <c r="G49" t="s">
        <v>17</v>
      </c>
      <c r="H49" s="3"/>
      <c r="I49" t="s">
        <v>17</v>
      </c>
      <c r="J49" t="s">
        <v>12</v>
      </c>
      <c r="K49">
        <v>36</v>
      </c>
    </row>
    <row r="50" spans="2:11" x14ac:dyDescent="0.2">
      <c r="B50" s="3" t="s">
        <v>10</v>
      </c>
      <c r="C50" s="3">
        <v>19</v>
      </c>
      <c r="D50" s="3" t="s">
        <v>6</v>
      </c>
      <c r="E50">
        <v>19</v>
      </c>
      <c r="F50" s="3" t="s">
        <v>5</v>
      </c>
      <c r="G50">
        <v>29</v>
      </c>
      <c r="H50" s="3" t="s">
        <v>11</v>
      </c>
      <c r="I50">
        <v>29</v>
      </c>
      <c r="J50" t="s">
        <v>11</v>
      </c>
      <c r="K50">
        <v>29</v>
      </c>
    </row>
    <row r="51" spans="2:11" x14ac:dyDescent="0.2">
      <c r="B51" s="3"/>
      <c r="C51" s="3" t="s">
        <v>17</v>
      </c>
      <c r="D51" s="3"/>
      <c r="E51" t="s">
        <v>17</v>
      </c>
      <c r="F51" s="3"/>
      <c r="G51" t="s">
        <v>17</v>
      </c>
      <c r="H51" s="3"/>
      <c r="I51" t="s">
        <v>17</v>
      </c>
      <c r="J51" t="s">
        <v>12</v>
      </c>
      <c r="K51">
        <v>90</v>
      </c>
    </row>
    <row r="52" spans="2:11" x14ac:dyDescent="0.2">
      <c r="B52" s="3"/>
      <c r="C52" s="3" t="s">
        <v>17</v>
      </c>
      <c r="D52" s="3"/>
      <c r="E52" t="s">
        <v>17</v>
      </c>
      <c r="F52" s="3"/>
      <c r="G52" t="s">
        <v>17</v>
      </c>
      <c r="H52" s="3" t="s">
        <v>12</v>
      </c>
      <c r="I52">
        <v>31</v>
      </c>
      <c r="J52" t="s">
        <v>11</v>
      </c>
      <c r="K52">
        <v>31</v>
      </c>
    </row>
    <row r="53" spans="2:11" x14ac:dyDescent="0.2">
      <c r="B53" s="3"/>
      <c r="C53" s="3" t="s">
        <v>17</v>
      </c>
      <c r="D53" s="3"/>
      <c r="E53" t="s">
        <v>17</v>
      </c>
      <c r="F53" s="3"/>
      <c r="G53" t="s">
        <v>17</v>
      </c>
      <c r="H53" s="3"/>
      <c r="I53" t="s">
        <v>17</v>
      </c>
      <c r="J53" t="s">
        <v>12</v>
      </c>
      <c r="K53">
        <v>97</v>
      </c>
    </row>
    <row r="54" spans="2:11" x14ac:dyDescent="0.2">
      <c r="B54" s="3"/>
      <c r="C54" s="3" t="s">
        <v>17</v>
      </c>
      <c r="D54" s="3"/>
      <c r="E54" t="s">
        <v>17</v>
      </c>
      <c r="F54" s="3" t="s">
        <v>13</v>
      </c>
      <c r="G54">
        <v>19</v>
      </c>
      <c r="H54" s="3" t="s">
        <v>11</v>
      </c>
      <c r="I54">
        <v>19</v>
      </c>
      <c r="J54" t="s">
        <v>11</v>
      </c>
      <c r="K54">
        <v>19</v>
      </c>
    </row>
    <row r="55" spans="2:11" x14ac:dyDescent="0.2">
      <c r="B55" s="3"/>
      <c r="C55" s="3" t="s">
        <v>17</v>
      </c>
      <c r="D55" s="3"/>
      <c r="E55" t="s">
        <v>17</v>
      </c>
      <c r="F55" s="3"/>
      <c r="G55" t="s">
        <v>17</v>
      </c>
      <c r="H55" s="3"/>
      <c r="I55" t="s">
        <v>17</v>
      </c>
      <c r="J55" t="s">
        <v>12</v>
      </c>
      <c r="K55">
        <v>60</v>
      </c>
    </row>
    <row r="56" spans="2:11" x14ac:dyDescent="0.2">
      <c r="B56" s="3"/>
      <c r="C56" s="3" t="s">
        <v>17</v>
      </c>
      <c r="D56" s="3"/>
      <c r="E56" t="s">
        <v>17</v>
      </c>
      <c r="F56" s="3"/>
      <c r="G56" t="s">
        <v>17</v>
      </c>
      <c r="H56" s="3" t="s">
        <v>12</v>
      </c>
      <c r="I56">
        <v>20</v>
      </c>
      <c r="J56" t="s">
        <v>11</v>
      </c>
      <c r="K56">
        <v>20</v>
      </c>
    </row>
    <row r="57" spans="2:11" x14ac:dyDescent="0.2">
      <c r="B57" s="3"/>
      <c r="C57" s="3" t="s">
        <v>17</v>
      </c>
      <c r="D57" s="3"/>
      <c r="E57" t="s">
        <v>17</v>
      </c>
      <c r="F57" s="3"/>
      <c r="G57" t="s">
        <v>17</v>
      </c>
      <c r="H57" s="3"/>
      <c r="I57" t="s">
        <v>17</v>
      </c>
      <c r="J57" t="s">
        <v>12</v>
      </c>
      <c r="K57">
        <v>64</v>
      </c>
    </row>
    <row r="58" spans="2:11" x14ac:dyDescent="0.2">
      <c r="B58" s="3"/>
      <c r="C58" s="3" t="s">
        <v>17</v>
      </c>
      <c r="D58" s="3"/>
      <c r="E58" t="s">
        <v>17</v>
      </c>
      <c r="F58" s="3" t="s">
        <v>14</v>
      </c>
      <c r="G58">
        <v>18</v>
      </c>
      <c r="H58" s="3" t="s">
        <v>11</v>
      </c>
      <c r="I58">
        <v>18</v>
      </c>
      <c r="J58" t="s">
        <v>11</v>
      </c>
      <c r="K58">
        <v>18</v>
      </c>
    </row>
    <row r="59" spans="2:11" x14ac:dyDescent="0.2">
      <c r="B59" s="3"/>
      <c r="C59" s="3" t="s">
        <v>17</v>
      </c>
      <c r="D59" s="3"/>
      <c r="E59" t="s">
        <v>17</v>
      </c>
      <c r="F59" s="3"/>
      <c r="G59" t="s">
        <v>17</v>
      </c>
      <c r="H59" s="3"/>
      <c r="I59" t="s">
        <v>17</v>
      </c>
      <c r="J59" t="s">
        <v>12</v>
      </c>
      <c r="K59">
        <v>57</v>
      </c>
    </row>
    <row r="60" spans="2:11" x14ac:dyDescent="0.2">
      <c r="B60" s="3"/>
      <c r="C60" s="3" t="s">
        <v>17</v>
      </c>
      <c r="D60" s="3"/>
      <c r="E60" t="s">
        <v>17</v>
      </c>
      <c r="F60" s="3"/>
      <c r="G60" t="s">
        <v>17</v>
      </c>
      <c r="H60" s="3" t="s">
        <v>12</v>
      </c>
      <c r="I60">
        <v>20</v>
      </c>
      <c r="J60" t="s">
        <v>11</v>
      </c>
      <c r="K60">
        <v>20</v>
      </c>
    </row>
    <row r="61" spans="2:11" x14ac:dyDescent="0.2">
      <c r="B61" s="3"/>
      <c r="C61" s="3" t="s">
        <v>17</v>
      </c>
      <c r="D61" s="3"/>
      <c r="E61" t="s">
        <v>17</v>
      </c>
      <c r="F61" s="3"/>
      <c r="G61" t="s">
        <v>17</v>
      </c>
      <c r="H61" s="3"/>
      <c r="I61" t="s">
        <v>17</v>
      </c>
      <c r="J61" t="s">
        <v>12</v>
      </c>
      <c r="K61">
        <v>62</v>
      </c>
    </row>
    <row r="62" spans="2:11" x14ac:dyDescent="0.2">
      <c r="B62" s="3"/>
      <c r="C62" s="3" t="s">
        <v>17</v>
      </c>
      <c r="D62" s="3" t="s">
        <v>7</v>
      </c>
      <c r="E62">
        <v>15</v>
      </c>
      <c r="F62" s="3" t="s">
        <v>5</v>
      </c>
      <c r="G62">
        <v>28</v>
      </c>
      <c r="H62" s="3" t="s">
        <v>11</v>
      </c>
      <c r="I62">
        <v>28</v>
      </c>
      <c r="J62" t="s">
        <v>11</v>
      </c>
      <c r="K62">
        <v>28</v>
      </c>
    </row>
    <row r="63" spans="2:11" x14ac:dyDescent="0.2">
      <c r="B63" s="3"/>
      <c r="C63" s="3" t="s">
        <v>17</v>
      </c>
      <c r="D63" s="3"/>
      <c r="E63" t="s">
        <v>17</v>
      </c>
      <c r="F63" s="3"/>
      <c r="G63" t="s">
        <v>17</v>
      </c>
      <c r="H63" s="3"/>
      <c r="I63" t="s">
        <v>17</v>
      </c>
      <c r="J63" t="s">
        <v>12</v>
      </c>
      <c r="K63">
        <v>88</v>
      </c>
    </row>
    <row r="64" spans="2:11" x14ac:dyDescent="0.2">
      <c r="B64" s="3"/>
      <c r="C64" s="3" t="s">
        <v>17</v>
      </c>
      <c r="D64" s="3"/>
      <c r="E64" t="s">
        <v>17</v>
      </c>
      <c r="F64" s="3"/>
      <c r="G64" t="s">
        <v>17</v>
      </c>
      <c r="H64" s="3" t="s">
        <v>12</v>
      </c>
      <c r="I64">
        <v>30</v>
      </c>
      <c r="J64" t="s">
        <v>11</v>
      </c>
      <c r="K64">
        <v>30</v>
      </c>
    </row>
    <row r="65" spans="2:11" x14ac:dyDescent="0.2">
      <c r="B65" s="3"/>
      <c r="C65" s="3" t="s">
        <v>17</v>
      </c>
      <c r="D65" s="3"/>
      <c r="E65" t="s">
        <v>17</v>
      </c>
      <c r="F65" s="3"/>
      <c r="G65" t="s">
        <v>17</v>
      </c>
      <c r="H65" s="3"/>
      <c r="I65" t="s">
        <v>17</v>
      </c>
      <c r="J65" t="s">
        <v>12</v>
      </c>
      <c r="K65">
        <v>94</v>
      </c>
    </row>
    <row r="66" spans="2:11" x14ac:dyDescent="0.2">
      <c r="B66" s="3"/>
      <c r="C66" s="3" t="s">
        <v>17</v>
      </c>
      <c r="D66" s="3"/>
      <c r="E66" t="s">
        <v>17</v>
      </c>
      <c r="F66" s="3" t="s">
        <v>13</v>
      </c>
      <c r="G66">
        <v>15</v>
      </c>
      <c r="H66" s="3" t="s">
        <v>11</v>
      </c>
      <c r="I66">
        <v>15</v>
      </c>
      <c r="J66" t="s">
        <v>11</v>
      </c>
      <c r="K66">
        <v>15</v>
      </c>
    </row>
    <row r="67" spans="2:11" x14ac:dyDescent="0.2">
      <c r="B67" s="3"/>
      <c r="C67" s="3" t="s">
        <v>17</v>
      </c>
      <c r="D67" s="3"/>
      <c r="E67" t="s">
        <v>17</v>
      </c>
      <c r="F67" s="3"/>
      <c r="G67" t="s">
        <v>17</v>
      </c>
      <c r="H67" s="3"/>
      <c r="I67" t="s">
        <v>17</v>
      </c>
      <c r="J67" t="s">
        <v>12</v>
      </c>
      <c r="K67">
        <v>49</v>
      </c>
    </row>
    <row r="68" spans="2:11" x14ac:dyDescent="0.2">
      <c r="B68" s="3"/>
      <c r="C68" s="3" t="s">
        <v>17</v>
      </c>
      <c r="D68" s="3"/>
      <c r="E68" t="s">
        <v>17</v>
      </c>
      <c r="F68" s="3"/>
      <c r="G68" t="s">
        <v>17</v>
      </c>
      <c r="H68" s="3" t="s">
        <v>12</v>
      </c>
      <c r="I68">
        <v>17</v>
      </c>
      <c r="J68" t="s">
        <v>11</v>
      </c>
      <c r="K68">
        <v>17</v>
      </c>
    </row>
    <row r="69" spans="2:11" x14ac:dyDescent="0.2">
      <c r="B69" s="3"/>
      <c r="C69" s="3" t="s">
        <v>17</v>
      </c>
      <c r="D69" s="3"/>
      <c r="E69" t="s">
        <v>17</v>
      </c>
      <c r="F69" s="3"/>
      <c r="G69" t="s">
        <v>17</v>
      </c>
      <c r="H69" s="3"/>
      <c r="I69" t="s">
        <v>17</v>
      </c>
      <c r="J69" t="s">
        <v>12</v>
      </c>
      <c r="K69">
        <v>52</v>
      </c>
    </row>
    <row r="70" spans="2:11" x14ac:dyDescent="0.2">
      <c r="B70" s="3"/>
      <c r="C70" s="3" t="s">
        <v>17</v>
      </c>
      <c r="D70" s="3"/>
      <c r="E70" t="s">
        <v>17</v>
      </c>
      <c r="F70" s="3" t="s">
        <v>14</v>
      </c>
      <c r="G70">
        <v>16</v>
      </c>
      <c r="H70" s="3" t="s">
        <v>11</v>
      </c>
      <c r="I70">
        <v>16</v>
      </c>
      <c r="J70" t="s">
        <v>11</v>
      </c>
      <c r="K70">
        <v>16</v>
      </c>
    </row>
    <row r="71" spans="2:11" x14ac:dyDescent="0.2">
      <c r="B71" s="3"/>
      <c r="C71" s="3" t="s">
        <v>17</v>
      </c>
      <c r="D71" s="3"/>
      <c r="E71" t="s">
        <v>17</v>
      </c>
      <c r="F71" s="3"/>
      <c r="G71" t="s">
        <v>17</v>
      </c>
      <c r="H71" s="3"/>
      <c r="I71" t="s">
        <v>17</v>
      </c>
      <c r="J71" t="s">
        <v>12</v>
      </c>
      <c r="K71">
        <v>49</v>
      </c>
    </row>
    <row r="72" spans="2:11" x14ac:dyDescent="0.2">
      <c r="B72" s="3"/>
      <c r="C72" s="3" t="s">
        <v>17</v>
      </c>
      <c r="D72" s="3"/>
      <c r="E72" t="s">
        <v>17</v>
      </c>
      <c r="F72" s="3"/>
      <c r="G72" t="s">
        <v>17</v>
      </c>
      <c r="H72" s="3" t="s">
        <v>12</v>
      </c>
      <c r="I72">
        <v>17</v>
      </c>
      <c r="J72" t="s">
        <v>11</v>
      </c>
      <c r="K72">
        <v>17</v>
      </c>
    </row>
    <row r="73" spans="2:11" x14ac:dyDescent="0.2">
      <c r="B73" s="3"/>
      <c r="C73" s="3"/>
      <c r="D73" s="3"/>
      <c r="E73" t="s">
        <v>17</v>
      </c>
      <c r="F73" s="3"/>
      <c r="G73" t="s">
        <v>17</v>
      </c>
      <c r="H73" s="3"/>
      <c r="I73" t="s">
        <v>17</v>
      </c>
      <c r="J73" t="s">
        <v>12</v>
      </c>
      <c r="K73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4772B-30B0-C040-95A5-666D2508022E}">
  <dimension ref="A1:J73"/>
  <sheetViews>
    <sheetView workbookViewId="0">
      <selection activeCell="J33" sqref="J33"/>
    </sheetView>
  </sheetViews>
  <sheetFormatPr baseColWidth="10" defaultRowHeight="16" x14ac:dyDescent="0.2"/>
  <sheetData>
    <row r="1" spans="1:10" x14ac:dyDescent="0.2">
      <c r="A1" t="s">
        <v>16</v>
      </c>
    </row>
    <row r="2" spans="1:10" x14ac:dyDescent="0.2">
      <c r="A2">
        <f>Black_deaths!C2-White_deaths!C2</f>
        <v>-33</v>
      </c>
      <c r="B2">
        <f>A2</f>
        <v>-33</v>
      </c>
      <c r="C2">
        <f>Black_deaths!E2-White_deaths!E2</f>
        <v>-33</v>
      </c>
      <c r="D2">
        <f>C2</f>
        <v>-33</v>
      </c>
      <c r="E2">
        <f>Black_deaths!G2-White_deaths!G2</f>
        <v>-54</v>
      </c>
      <c r="F2">
        <f>E2</f>
        <v>-54</v>
      </c>
      <c r="G2">
        <f>Black_deaths!I2-White_deaths!I2</f>
        <v>-54</v>
      </c>
      <c r="H2">
        <f>G2</f>
        <v>-54</v>
      </c>
      <c r="I2">
        <f>Black_deaths!K2-White_deaths!K2</f>
        <v>-54</v>
      </c>
      <c r="J2">
        <f>I2</f>
        <v>-54</v>
      </c>
    </row>
    <row r="3" spans="1:10" x14ac:dyDescent="0.2">
      <c r="A3" t="e">
        <f>Black_deaths!C3-White_deaths!C3</f>
        <v>#VALUE!</v>
      </c>
      <c r="B3" t="e">
        <f>IF(A3=0,B2,A3)</f>
        <v>#VALUE!</v>
      </c>
      <c r="C3" t="e">
        <f>Black_deaths!E3-White_deaths!E3</f>
        <v>#VALUE!</v>
      </c>
      <c r="D3" t="e">
        <f>IF(C3=0,D2,C3)</f>
        <v>#VALUE!</v>
      </c>
      <c r="E3" t="e">
        <f>Black_deaths!G3-White_deaths!G3</f>
        <v>#VALUE!</v>
      </c>
      <c r="F3" t="e">
        <f>IF(E3=0,F2,E3)</f>
        <v>#VALUE!</v>
      </c>
      <c r="G3" t="e">
        <f>Black_deaths!I3-White_deaths!I3</f>
        <v>#VALUE!</v>
      </c>
      <c r="H3" t="e">
        <f>IF(G3=0,H2,G3)</f>
        <v>#VALUE!</v>
      </c>
      <c r="I3">
        <f>Black_deaths!K3-White_deaths!K3</f>
        <v>-8</v>
      </c>
      <c r="J3">
        <f>IF(I3=0,J2,I3)</f>
        <v>-8</v>
      </c>
    </row>
    <row r="4" spans="1:10" x14ac:dyDescent="0.2">
      <c r="A4" t="e">
        <f>Black_deaths!C4-White_deaths!C4</f>
        <v>#VALUE!</v>
      </c>
      <c r="B4" t="e">
        <f t="shared" ref="B4:B67" si="0">IF(A4=0,B3,A4)</f>
        <v>#VALUE!</v>
      </c>
      <c r="C4" t="e">
        <f>Black_deaths!E4-White_deaths!E4</f>
        <v>#VALUE!</v>
      </c>
      <c r="D4" t="e">
        <f t="shared" ref="D4:D67" si="1">IF(C4=0,D3,C4)</f>
        <v>#VALUE!</v>
      </c>
      <c r="E4" t="e">
        <f>Black_deaths!G4-White_deaths!G4</f>
        <v>#VALUE!</v>
      </c>
      <c r="F4" t="e">
        <f t="shared" ref="F4:F67" si="2">IF(E4=0,F3,E4)</f>
        <v>#VALUE!</v>
      </c>
      <c r="G4">
        <f>Black_deaths!I4-White_deaths!I4</f>
        <v>-56</v>
      </c>
      <c r="H4">
        <f t="shared" ref="H4:H67" si="3">IF(G4=0,H3,G4)</f>
        <v>-56</v>
      </c>
      <c r="I4">
        <f>Black_deaths!K4-White_deaths!K4</f>
        <v>-56</v>
      </c>
      <c r="J4">
        <f t="shared" ref="J4" si="4">I4</f>
        <v>-56</v>
      </c>
    </row>
    <row r="5" spans="1:10" x14ac:dyDescent="0.2">
      <c r="A5" t="e">
        <f>Black_deaths!C5-White_deaths!C5</f>
        <v>#VALUE!</v>
      </c>
      <c r="B5" t="e">
        <f t="shared" si="0"/>
        <v>#VALUE!</v>
      </c>
      <c r="C5" t="e">
        <f>Black_deaths!E5-White_deaths!E5</f>
        <v>#VALUE!</v>
      </c>
      <c r="D5" t="e">
        <f t="shared" si="1"/>
        <v>#VALUE!</v>
      </c>
      <c r="E5" t="e">
        <f>Black_deaths!G5-White_deaths!G5</f>
        <v>#VALUE!</v>
      </c>
      <c r="F5" t="e">
        <f t="shared" si="2"/>
        <v>#VALUE!</v>
      </c>
      <c r="G5" t="e">
        <f>Black_deaths!I5-White_deaths!I5</f>
        <v>#VALUE!</v>
      </c>
      <c r="H5" t="e">
        <f t="shared" si="3"/>
        <v>#VALUE!</v>
      </c>
      <c r="I5">
        <f>Black_deaths!K5-White_deaths!K5</f>
        <v>-6</v>
      </c>
      <c r="J5">
        <f t="shared" ref="J5" si="5">IF(I5=0,J4,I5)</f>
        <v>-6</v>
      </c>
    </row>
    <row r="6" spans="1:10" x14ac:dyDescent="0.2">
      <c r="A6" t="e">
        <f>Black_deaths!C6-White_deaths!C6</f>
        <v>#VALUE!</v>
      </c>
      <c r="B6" t="e">
        <f t="shared" si="0"/>
        <v>#VALUE!</v>
      </c>
      <c r="C6" t="e">
        <f>Black_deaths!E6-White_deaths!E6</f>
        <v>#VALUE!</v>
      </c>
      <c r="D6" t="e">
        <f t="shared" si="1"/>
        <v>#VALUE!</v>
      </c>
      <c r="E6">
        <f>Black_deaths!G6-White_deaths!G6</f>
        <v>-33</v>
      </c>
      <c r="F6">
        <f t="shared" si="2"/>
        <v>-33</v>
      </c>
      <c r="G6">
        <f>Black_deaths!I6-White_deaths!I6</f>
        <v>-33</v>
      </c>
      <c r="H6">
        <f t="shared" si="3"/>
        <v>-33</v>
      </c>
      <c r="I6">
        <f>Black_deaths!K6-White_deaths!K6</f>
        <v>-33</v>
      </c>
      <c r="J6">
        <f t="shared" ref="J6" si="6">I6</f>
        <v>-33</v>
      </c>
    </row>
    <row r="7" spans="1:10" x14ac:dyDescent="0.2">
      <c r="A7" t="e">
        <f>Black_deaths!C7-White_deaths!C7</f>
        <v>#VALUE!</v>
      </c>
      <c r="B7" t="e">
        <f t="shared" si="0"/>
        <v>#VALUE!</v>
      </c>
      <c r="C7" t="e">
        <f>Black_deaths!E7-White_deaths!E7</f>
        <v>#VALUE!</v>
      </c>
      <c r="D7" t="e">
        <f t="shared" si="1"/>
        <v>#VALUE!</v>
      </c>
      <c r="E7" t="e">
        <f>Black_deaths!G7-White_deaths!G7</f>
        <v>#VALUE!</v>
      </c>
      <c r="F7" t="e">
        <f t="shared" si="2"/>
        <v>#VALUE!</v>
      </c>
      <c r="G7" t="e">
        <f>Black_deaths!I7-White_deaths!I7</f>
        <v>#VALUE!</v>
      </c>
      <c r="H7" t="e">
        <f t="shared" si="3"/>
        <v>#VALUE!</v>
      </c>
      <c r="I7">
        <f>Black_deaths!K7-White_deaths!K7</f>
        <v>-2</v>
      </c>
      <c r="J7">
        <f t="shared" ref="J7" si="7">IF(I7=0,J6,I7)</f>
        <v>-2</v>
      </c>
    </row>
    <row r="8" spans="1:10" x14ac:dyDescent="0.2">
      <c r="A8" t="e">
        <f>Black_deaths!C8-White_deaths!C8</f>
        <v>#VALUE!</v>
      </c>
      <c r="B8" t="e">
        <f t="shared" si="0"/>
        <v>#VALUE!</v>
      </c>
      <c r="C8" t="e">
        <f>Black_deaths!E8-White_deaths!E8</f>
        <v>#VALUE!</v>
      </c>
      <c r="D8" t="e">
        <f t="shared" si="1"/>
        <v>#VALUE!</v>
      </c>
      <c r="E8" t="e">
        <f>Black_deaths!G8-White_deaths!G8</f>
        <v>#VALUE!</v>
      </c>
      <c r="F8" t="e">
        <f t="shared" si="2"/>
        <v>#VALUE!</v>
      </c>
      <c r="G8">
        <f>Black_deaths!I8-White_deaths!I8</f>
        <v>-65</v>
      </c>
      <c r="H8">
        <f t="shared" si="3"/>
        <v>-65</v>
      </c>
      <c r="I8">
        <f>Black_deaths!K8-White_deaths!K8</f>
        <v>-34</v>
      </c>
      <c r="J8">
        <f t="shared" ref="J8" si="8">I8</f>
        <v>-34</v>
      </c>
    </row>
    <row r="9" spans="1:10" x14ac:dyDescent="0.2">
      <c r="A9" t="e">
        <f>Black_deaths!C9-White_deaths!C9</f>
        <v>#VALUE!</v>
      </c>
      <c r="B9" t="e">
        <f t="shared" si="0"/>
        <v>#VALUE!</v>
      </c>
      <c r="C9" t="e">
        <f>Black_deaths!E9-White_deaths!E9</f>
        <v>#VALUE!</v>
      </c>
      <c r="D9" t="e">
        <f t="shared" si="1"/>
        <v>#VALUE!</v>
      </c>
      <c r="E9" t="e">
        <f>Black_deaths!G9-White_deaths!G9</f>
        <v>#VALUE!</v>
      </c>
      <c r="F9" t="e">
        <f t="shared" si="2"/>
        <v>#VALUE!</v>
      </c>
      <c r="G9" t="e">
        <f>Black_deaths!I9-White_deaths!I9</f>
        <v>#VALUE!</v>
      </c>
      <c r="H9" t="e">
        <f t="shared" si="3"/>
        <v>#VALUE!</v>
      </c>
      <c r="I9">
        <f>Black_deaths!K9-White_deaths!K9</f>
        <v>0</v>
      </c>
      <c r="J9">
        <f t="shared" ref="J9" si="9">IF(I9=0,J8,I9)</f>
        <v>-34</v>
      </c>
    </row>
    <row r="10" spans="1:10" x14ac:dyDescent="0.2">
      <c r="A10" t="e">
        <f>Black_deaths!C10-White_deaths!C10</f>
        <v>#VALUE!</v>
      </c>
      <c r="B10" t="e">
        <f t="shared" si="0"/>
        <v>#VALUE!</v>
      </c>
      <c r="C10" t="e">
        <f>Black_deaths!E10-White_deaths!E10</f>
        <v>#VALUE!</v>
      </c>
      <c r="D10" t="e">
        <f t="shared" si="1"/>
        <v>#VALUE!</v>
      </c>
      <c r="E10">
        <f>Black_deaths!G10-White_deaths!G10</f>
        <v>-32</v>
      </c>
      <c r="F10">
        <f t="shared" si="2"/>
        <v>-32</v>
      </c>
      <c r="G10">
        <f>Black_deaths!I10-White_deaths!I10</f>
        <v>-32</v>
      </c>
      <c r="H10">
        <f t="shared" si="3"/>
        <v>-32</v>
      </c>
      <c r="I10">
        <f>Black_deaths!K10-White_deaths!K10</f>
        <v>-32</v>
      </c>
      <c r="J10">
        <f t="shared" ref="J10" si="10">I10</f>
        <v>-32</v>
      </c>
    </row>
    <row r="11" spans="1:10" x14ac:dyDescent="0.2">
      <c r="A11" t="e">
        <f>Black_deaths!C11-White_deaths!C11</f>
        <v>#VALUE!</v>
      </c>
      <c r="B11" t="e">
        <f t="shared" si="0"/>
        <v>#VALUE!</v>
      </c>
      <c r="C11" t="e">
        <f>Black_deaths!E11-White_deaths!E11</f>
        <v>#VALUE!</v>
      </c>
      <c r="D11" t="e">
        <f t="shared" si="1"/>
        <v>#VALUE!</v>
      </c>
      <c r="E11" t="e">
        <f>Black_deaths!G11-White_deaths!G11</f>
        <v>#VALUE!</v>
      </c>
      <c r="F11" t="e">
        <f t="shared" si="2"/>
        <v>#VALUE!</v>
      </c>
      <c r="G11" t="e">
        <f>Black_deaths!I11-White_deaths!I11</f>
        <v>#VALUE!</v>
      </c>
      <c r="H11" t="e">
        <f t="shared" si="3"/>
        <v>#VALUE!</v>
      </c>
      <c r="I11">
        <f>Black_deaths!K11-White_deaths!K11</f>
        <v>-2</v>
      </c>
      <c r="J11">
        <f t="shared" ref="J11" si="11">IF(I11=0,J10,I11)</f>
        <v>-2</v>
      </c>
    </row>
    <row r="12" spans="1:10" x14ac:dyDescent="0.2">
      <c r="A12" t="e">
        <f>Black_deaths!C12-White_deaths!C12</f>
        <v>#VALUE!</v>
      </c>
      <c r="B12" t="e">
        <f t="shared" si="0"/>
        <v>#VALUE!</v>
      </c>
      <c r="C12" t="e">
        <f>Black_deaths!E12-White_deaths!E12</f>
        <v>#VALUE!</v>
      </c>
      <c r="D12" t="e">
        <f t="shared" si="1"/>
        <v>#VALUE!</v>
      </c>
      <c r="E12" t="e">
        <f>Black_deaths!G12-White_deaths!G12</f>
        <v>#VALUE!</v>
      </c>
      <c r="F12" t="e">
        <f t="shared" si="2"/>
        <v>#VALUE!</v>
      </c>
      <c r="G12">
        <f>Black_deaths!I12-White_deaths!I12</f>
        <v>-33</v>
      </c>
      <c r="H12">
        <f t="shared" si="3"/>
        <v>-33</v>
      </c>
      <c r="I12">
        <f>Black_deaths!K12-White_deaths!K12</f>
        <v>-33</v>
      </c>
      <c r="J12">
        <f t="shared" ref="J12" si="12">I12</f>
        <v>-33</v>
      </c>
    </row>
    <row r="13" spans="1:10" x14ac:dyDescent="0.2">
      <c r="A13" t="e">
        <f>Black_deaths!C13-White_deaths!C13</f>
        <v>#VALUE!</v>
      </c>
      <c r="B13" t="e">
        <f t="shared" si="0"/>
        <v>#VALUE!</v>
      </c>
      <c r="C13" t="e">
        <f>Black_deaths!E13-White_deaths!E13</f>
        <v>#VALUE!</v>
      </c>
      <c r="D13" t="e">
        <f t="shared" si="1"/>
        <v>#VALUE!</v>
      </c>
      <c r="E13" t="e">
        <f>Black_deaths!G13-White_deaths!G13</f>
        <v>#VALUE!</v>
      </c>
      <c r="F13" t="e">
        <f t="shared" si="2"/>
        <v>#VALUE!</v>
      </c>
      <c r="G13" t="e">
        <f>Black_deaths!I13-White_deaths!I13</f>
        <v>#VALUE!</v>
      </c>
      <c r="H13" t="e">
        <f t="shared" si="3"/>
        <v>#VALUE!</v>
      </c>
      <c r="I13">
        <f>Black_deaths!K13-White_deaths!K13</f>
        <v>-1</v>
      </c>
      <c r="J13">
        <f t="shared" ref="J13" si="13">IF(I13=0,J12,I13)</f>
        <v>-1</v>
      </c>
    </row>
    <row r="14" spans="1:10" x14ac:dyDescent="0.2">
      <c r="A14" t="e">
        <f>Black_deaths!C14-White_deaths!C14</f>
        <v>#VALUE!</v>
      </c>
      <c r="B14" t="e">
        <f t="shared" si="0"/>
        <v>#VALUE!</v>
      </c>
      <c r="C14">
        <f>Black_deaths!E14-White_deaths!E14</f>
        <v>-30</v>
      </c>
      <c r="D14">
        <f t="shared" si="1"/>
        <v>-30</v>
      </c>
      <c r="E14">
        <f>Black_deaths!G14-White_deaths!G14</f>
        <v>-55</v>
      </c>
      <c r="F14">
        <f t="shared" si="2"/>
        <v>-55</v>
      </c>
      <c r="G14">
        <f>Black_deaths!I14-White_deaths!I14</f>
        <v>-55</v>
      </c>
      <c r="H14">
        <f t="shared" si="3"/>
        <v>-55</v>
      </c>
      <c r="I14">
        <f>Black_deaths!K14-White_deaths!K14</f>
        <v>-55</v>
      </c>
      <c r="J14">
        <f t="shared" ref="J14" si="14">I14</f>
        <v>-55</v>
      </c>
    </row>
    <row r="15" spans="1:10" x14ac:dyDescent="0.2">
      <c r="A15" t="e">
        <f>Black_deaths!C15-White_deaths!C15</f>
        <v>#VALUE!</v>
      </c>
      <c r="B15" t="e">
        <f t="shared" si="0"/>
        <v>#VALUE!</v>
      </c>
      <c r="C15" t="e">
        <f>Black_deaths!E15-White_deaths!E15</f>
        <v>#VALUE!</v>
      </c>
      <c r="D15" t="e">
        <f t="shared" si="1"/>
        <v>#VALUE!</v>
      </c>
      <c r="E15" t="e">
        <f>Black_deaths!G15-White_deaths!G15</f>
        <v>#VALUE!</v>
      </c>
      <c r="F15" t="e">
        <f t="shared" si="2"/>
        <v>#VALUE!</v>
      </c>
      <c r="G15" t="e">
        <f>Black_deaths!I15-White_deaths!I15</f>
        <v>#VALUE!</v>
      </c>
      <c r="H15" t="e">
        <f t="shared" si="3"/>
        <v>#VALUE!</v>
      </c>
      <c r="I15">
        <f>Black_deaths!K15-White_deaths!K15</f>
        <v>-9</v>
      </c>
      <c r="J15">
        <f t="shared" ref="J15" si="15">IF(I15=0,J14,I15)</f>
        <v>-9</v>
      </c>
    </row>
    <row r="16" spans="1:10" x14ac:dyDescent="0.2">
      <c r="A16" t="e">
        <f>Black_deaths!C16-White_deaths!C16</f>
        <v>#VALUE!</v>
      </c>
      <c r="B16" t="e">
        <f t="shared" si="0"/>
        <v>#VALUE!</v>
      </c>
      <c r="C16" t="e">
        <f>Black_deaths!E16-White_deaths!E16</f>
        <v>#VALUE!</v>
      </c>
      <c r="D16" t="e">
        <f t="shared" si="1"/>
        <v>#VALUE!</v>
      </c>
      <c r="E16" t="e">
        <f>Black_deaths!G16-White_deaths!G16</f>
        <v>#VALUE!</v>
      </c>
      <c r="F16" t="e">
        <f t="shared" si="2"/>
        <v>#VALUE!</v>
      </c>
      <c r="G16">
        <f>Black_deaths!I16-White_deaths!I16</f>
        <v>-57</v>
      </c>
      <c r="H16">
        <f t="shared" si="3"/>
        <v>-57</v>
      </c>
      <c r="I16">
        <f>Black_deaths!K16-White_deaths!K16</f>
        <v>-57</v>
      </c>
      <c r="J16">
        <f t="shared" ref="J16" si="16">I16</f>
        <v>-57</v>
      </c>
    </row>
    <row r="17" spans="1:10" x14ac:dyDescent="0.2">
      <c r="A17" t="e">
        <f>Black_deaths!C17-White_deaths!C17</f>
        <v>#VALUE!</v>
      </c>
      <c r="B17" t="e">
        <f t="shared" si="0"/>
        <v>#VALUE!</v>
      </c>
      <c r="C17" t="e">
        <f>Black_deaths!E17-White_deaths!E17</f>
        <v>#VALUE!</v>
      </c>
      <c r="D17" t="e">
        <f t="shared" si="1"/>
        <v>#VALUE!</v>
      </c>
      <c r="E17" t="e">
        <f>Black_deaths!G17-White_deaths!G17</f>
        <v>#VALUE!</v>
      </c>
      <c r="F17" t="e">
        <f t="shared" si="2"/>
        <v>#VALUE!</v>
      </c>
      <c r="G17" t="e">
        <f>Black_deaths!I17-White_deaths!I17</f>
        <v>#VALUE!</v>
      </c>
      <c r="H17" t="e">
        <f t="shared" si="3"/>
        <v>#VALUE!</v>
      </c>
      <c r="I17">
        <f>Black_deaths!K17-White_deaths!K17</f>
        <v>-7</v>
      </c>
      <c r="J17">
        <f t="shared" ref="J17" si="17">IF(I17=0,J16,I17)</f>
        <v>-7</v>
      </c>
    </row>
    <row r="18" spans="1:10" x14ac:dyDescent="0.2">
      <c r="A18" t="e">
        <f>Black_deaths!C18-White_deaths!C18</f>
        <v>#VALUE!</v>
      </c>
      <c r="B18" t="e">
        <f t="shared" si="0"/>
        <v>#VALUE!</v>
      </c>
      <c r="C18" t="e">
        <f>Black_deaths!E18-White_deaths!E18</f>
        <v>#VALUE!</v>
      </c>
      <c r="D18" t="e">
        <f t="shared" si="1"/>
        <v>#VALUE!</v>
      </c>
      <c r="E18">
        <f>Black_deaths!G18-White_deaths!G18</f>
        <v>-30</v>
      </c>
      <c r="F18">
        <f t="shared" si="2"/>
        <v>-30</v>
      </c>
      <c r="G18">
        <f>Black_deaths!I18-White_deaths!I18</f>
        <v>-30</v>
      </c>
      <c r="H18">
        <f t="shared" si="3"/>
        <v>-30</v>
      </c>
      <c r="I18">
        <f>Black_deaths!K18-White_deaths!K18</f>
        <v>-30</v>
      </c>
      <c r="J18">
        <f t="shared" ref="J18" si="18">I18</f>
        <v>-30</v>
      </c>
    </row>
    <row r="19" spans="1:10" x14ac:dyDescent="0.2">
      <c r="A19" t="e">
        <f>Black_deaths!C19-White_deaths!C19</f>
        <v>#VALUE!</v>
      </c>
      <c r="B19" t="e">
        <f t="shared" si="0"/>
        <v>#VALUE!</v>
      </c>
      <c r="C19" t="e">
        <f>Black_deaths!E19-White_deaths!E19</f>
        <v>#VALUE!</v>
      </c>
      <c r="D19" t="e">
        <f t="shared" si="1"/>
        <v>#VALUE!</v>
      </c>
      <c r="E19" t="e">
        <f>Black_deaths!G19-White_deaths!G19</f>
        <v>#VALUE!</v>
      </c>
      <c r="F19" t="e">
        <f t="shared" si="2"/>
        <v>#VALUE!</v>
      </c>
      <c r="G19" t="e">
        <f>Black_deaths!I19-White_deaths!I19</f>
        <v>#VALUE!</v>
      </c>
      <c r="H19" t="e">
        <f t="shared" si="3"/>
        <v>#VALUE!</v>
      </c>
      <c r="I19">
        <f>Black_deaths!K19-White_deaths!K19</f>
        <v>-5</v>
      </c>
      <c r="J19">
        <f t="shared" ref="J19" si="19">IF(I19=0,J18,I19)</f>
        <v>-5</v>
      </c>
    </row>
    <row r="20" spans="1:10" x14ac:dyDescent="0.2">
      <c r="A20" t="e">
        <f>Black_deaths!C20-White_deaths!C20</f>
        <v>#VALUE!</v>
      </c>
      <c r="B20" t="e">
        <f t="shared" si="0"/>
        <v>#VALUE!</v>
      </c>
      <c r="C20" t="e">
        <f>Black_deaths!E20-White_deaths!E20</f>
        <v>#VALUE!</v>
      </c>
      <c r="D20" t="e">
        <f t="shared" si="1"/>
        <v>#VALUE!</v>
      </c>
      <c r="E20" t="e">
        <f>Black_deaths!G20-White_deaths!G20</f>
        <v>#VALUE!</v>
      </c>
      <c r="F20" t="e">
        <f t="shared" si="2"/>
        <v>#VALUE!</v>
      </c>
      <c r="G20">
        <f>Black_deaths!I20-White_deaths!I20</f>
        <v>-31</v>
      </c>
      <c r="H20">
        <f t="shared" si="3"/>
        <v>-31</v>
      </c>
      <c r="I20">
        <f>Black_deaths!K20-White_deaths!K20</f>
        <v>-31</v>
      </c>
      <c r="J20">
        <f t="shared" ref="J20" si="20">I20</f>
        <v>-31</v>
      </c>
    </row>
    <row r="21" spans="1:10" x14ac:dyDescent="0.2">
      <c r="A21" t="e">
        <f>Black_deaths!C21-White_deaths!C21</f>
        <v>#VALUE!</v>
      </c>
      <c r="B21" t="e">
        <f t="shared" si="0"/>
        <v>#VALUE!</v>
      </c>
      <c r="C21" t="e">
        <f>Black_deaths!E21-White_deaths!E21</f>
        <v>#VALUE!</v>
      </c>
      <c r="D21" t="e">
        <f t="shared" si="1"/>
        <v>#VALUE!</v>
      </c>
      <c r="E21" t="e">
        <f>Black_deaths!G21-White_deaths!G21</f>
        <v>#VALUE!</v>
      </c>
      <c r="F21" t="e">
        <f t="shared" si="2"/>
        <v>#VALUE!</v>
      </c>
      <c r="G21" t="e">
        <f>Black_deaths!I21-White_deaths!I21</f>
        <v>#VALUE!</v>
      </c>
      <c r="H21" t="e">
        <f t="shared" si="3"/>
        <v>#VALUE!</v>
      </c>
      <c r="I21">
        <f>Black_deaths!K21-White_deaths!K21</f>
        <v>-4</v>
      </c>
      <c r="J21">
        <f t="shared" ref="J21" si="21">IF(I21=0,J20,I21)</f>
        <v>-4</v>
      </c>
    </row>
    <row r="22" spans="1:10" x14ac:dyDescent="0.2">
      <c r="A22" t="e">
        <f>Black_deaths!C22-White_deaths!C22</f>
        <v>#VALUE!</v>
      </c>
      <c r="B22" t="e">
        <f t="shared" si="0"/>
        <v>#VALUE!</v>
      </c>
      <c r="C22" t="e">
        <f>Black_deaths!E22-White_deaths!E22</f>
        <v>#VALUE!</v>
      </c>
      <c r="D22" t="e">
        <f t="shared" si="1"/>
        <v>#VALUE!</v>
      </c>
      <c r="E22">
        <f>Black_deaths!G22-White_deaths!G22</f>
        <v>-31</v>
      </c>
      <c r="F22">
        <f t="shared" si="2"/>
        <v>-31</v>
      </c>
      <c r="G22">
        <f>Black_deaths!I22-White_deaths!I22</f>
        <v>-31</v>
      </c>
      <c r="H22">
        <f t="shared" si="3"/>
        <v>-31</v>
      </c>
      <c r="I22">
        <f>Black_deaths!K22-White_deaths!K22</f>
        <v>-31</v>
      </c>
      <c r="J22">
        <f t="shared" ref="J22" si="22">I22</f>
        <v>-31</v>
      </c>
    </row>
    <row r="23" spans="1:10" x14ac:dyDescent="0.2">
      <c r="A23" t="e">
        <f>Black_deaths!C23-White_deaths!C23</f>
        <v>#VALUE!</v>
      </c>
      <c r="B23" t="e">
        <f t="shared" si="0"/>
        <v>#VALUE!</v>
      </c>
      <c r="C23" t="e">
        <f>Black_deaths!E23-White_deaths!E23</f>
        <v>#VALUE!</v>
      </c>
      <c r="D23" t="e">
        <f t="shared" si="1"/>
        <v>#VALUE!</v>
      </c>
      <c r="E23" t="e">
        <f>Black_deaths!G23-White_deaths!G23</f>
        <v>#VALUE!</v>
      </c>
      <c r="F23" t="e">
        <f t="shared" si="2"/>
        <v>#VALUE!</v>
      </c>
      <c r="G23" t="e">
        <f>Black_deaths!I23-White_deaths!I23</f>
        <v>#VALUE!</v>
      </c>
      <c r="H23" t="e">
        <f t="shared" si="3"/>
        <v>#VALUE!</v>
      </c>
      <c r="I23">
        <f>Black_deaths!K23-White_deaths!K23</f>
        <v>-6</v>
      </c>
      <c r="J23">
        <f t="shared" ref="J23" si="23">IF(I23=0,J22,I23)</f>
        <v>-6</v>
      </c>
    </row>
    <row r="24" spans="1:10" x14ac:dyDescent="0.2">
      <c r="A24" t="e">
        <f>Black_deaths!C24-White_deaths!C24</f>
        <v>#VALUE!</v>
      </c>
      <c r="B24" t="e">
        <f t="shared" si="0"/>
        <v>#VALUE!</v>
      </c>
      <c r="C24" t="e">
        <f>Black_deaths!E24-White_deaths!E24</f>
        <v>#VALUE!</v>
      </c>
      <c r="D24" t="e">
        <f t="shared" si="1"/>
        <v>#VALUE!</v>
      </c>
      <c r="E24" t="e">
        <f>Black_deaths!G24-White_deaths!G24</f>
        <v>#VALUE!</v>
      </c>
      <c r="F24" t="e">
        <f t="shared" si="2"/>
        <v>#VALUE!</v>
      </c>
      <c r="G24">
        <f>Black_deaths!I24-White_deaths!I24</f>
        <v>-33</v>
      </c>
      <c r="H24">
        <f t="shared" si="3"/>
        <v>-33</v>
      </c>
      <c r="I24">
        <f>Black_deaths!K24-White_deaths!K24</f>
        <v>-33</v>
      </c>
      <c r="J24">
        <f t="shared" ref="J24" si="24">I24</f>
        <v>-33</v>
      </c>
    </row>
    <row r="25" spans="1:10" x14ac:dyDescent="0.2">
      <c r="A25" t="e">
        <f>Black_deaths!C25-White_deaths!C25</f>
        <v>#VALUE!</v>
      </c>
      <c r="B25" t="e">
        <f t="shared" si="0"/>
        <v>#VALUE!</v>
      </c>
      <c r="C25" t="e">
        <f>Black_deaths!E25-White_deaths!E25</f>
        <v>#VALUE!</v>
      </c>
      <c r="D25" t="e">
        <f t="shared" si="1"/>
        <v>#VALUE!</v>
      </c>
      <c r="E25" t="e">
        <f>Black_deaths!G25-White_deaths!G25</f>
        <v>#VALUE!</v>
      </c>
      <c r="F25" t="e">
        <f t="shared" si="2"/>
        <v>#VALUE!</v>
      </c>
      <c r="G25" t="e">
        <f>Black_deaths!I25-White_deaths!I25</f>
        <v>#VALUE!</v>
      </c>
      <c r="H25" t="e">
        <f t="shared" si="3"/>
        <v>#VALUE!</v>
      </c>
      <c r="I25">
        <f>Black_deaths!K25-White_deaths!K25</f>
        <v>-5</v>
      </c>
      <c r="J25">
        <f t="shared" ref="J25" si="25">IF(I25=0,J24,I25)</f>
        <v>-5</v>
      </c>
    </row>
    <row r="26" spans="1:10" x14ac:dyDescent="0.2">
      <c r="A26">
        <f>Black_deaths!C26-White_deaths!C26</f>
        <v>-26</v>
      </c>
      <c r="B26">
        <f t="shared" si="0"/>
        <v>-26</v>
      </c>
      <c r="C26">
        <f>Black_deaths!E26-White_deaths!E26</f>
        <v>-26</v>
      </c>
      <c r="D26">
        <f t="shared" si="1"/>
        <v>-26</v>
      </c>
      <c r="E26">
        <f>Black_deaths!G26-White_deaths!G26</f>
        <v>-44</v>
      </c>
      <c r="F26">
        <f t="shared" si="2"/>
        <v>-44</v>
      </c>
      <c r="G26">
        <f>Black_deaths!I26-White_deaths!I26</f>
        <v>-44</v>
      </c>
      <c r="H26">
        <f t="shared" si="3"/>
        <v>-44</v>
      </c>
      <c r="I26">
        <f>Black_deaths!K26-White_deaths!K26</f>
        <v>-44</v>
      </c>
      <c r="J26">
        <f t="shared" ref="J26" si="26">I26</f>
        <v>-44</v>
      </c>
    </row>
    <row r="27" spans="1:10" x14ac:dyDescent="0.2">
      <c r="A27" t="e">
        <f>Black_deaths!C27-White_deaths!C27</f>
        <v>#VALUE!</v>
      </c>
      <c r="B27" t="e">
        <f t="shared" si="0"/>
        <v>#VALUE!</v>
      </c>
      <c r="C27" t="e">
        <f>Black_deaths!E27-White_deaths!E27</f>
        <v>#VALUE!</v>
      </c>
      <c r="D27" t="e">
        <f t="shared" si="1"/>
        <v>#VALUE!</v>
      </c>
      <c r="E27" t="e">
        <f>Black_deaths!G27-White_deaths!G27</f>
        <v>#VALUE!</v>
      </c>
      <c r="F27" t="e">
        <f t="shared" si="2"/>
        <v>#VALUE!</v>
      </c>
      <c r="G27" t="e">
        <f>Black_deaths!I27-White_deaths!I27</f>
        <v>#VALUE!</v>
      </c>
      <c r="H27" t="e">
        <f t="shared" si="3"/>
        <v>#VALUE!</v>
      </c>
      <c r="I27">
        <f>Black_deaths!K27-White_deaths!K27</f>
        <v>-7</v>
      </c>
      <c r="J27">
        <f t="shared" ref="J27" si="27">IF(I27=0,J26,I27)</f>
        <v>-7</v>
      </c>
    </row>
    <row r="28" spans="1:10" x14ac:dyDescent="0.2">
      <c r="A28" t="e">
        <f>Black_deaths!C28-White_deaths!C28</f>
        <v>#VALUE!</v>
      </c>
      <c r="B28" t="e">
        <f t="shared" si="0"/>
        <v>#VALUE!</v>
      </c>
      <c r="C28" t="e">
        <f>Black_deaths!E28-White_deaths!E28</f>
        <v>#VALUE!</v>
      </c>
      <c r="D28" t="e">
        <f t="shared" si="1"/>
        <v>#VALUE!</v>
      </c>
      <c r="E28" t="e">
        <f>Black_deaths!G28-White_deaths!G28</f>
        <v>#VALUE!</v>
      </c>
      <c r="F28" t="e">
        <f t="shared" si="2"/>
        <v>#VALUE!</v>
      </c>
      <c r="G28">
        <f>Black_deaths!I28-White_deaths!I28</f>
        <v>-45</v>
      </c>
      <c r="H28">
        <f t="shared" si="3"/>
        <v>-45</v>
      </c>
      <c r="I28">
        <f>Black_deaths!K28-White_deaths!K28</f>
        <v>-45</v>
      </c>
      <c r="J28">
        <f t="shared" ref="J28" si="28">I28</f>
        <v>-45</v>
      </c>
    </row>
    <row r="29" spans="1:10" x14ac:dyDescent="0.2">
      <c r="A29" t="e">
        <f>Black_deaths!C29-White_deaths!C29</f>
        <v>#VALUE!</v>
      </c>
      <c r="B29" t="e">
        <f t="shared" si="0"/>
        <v>#VALUE!</v>
      </c>
      <c r="C29" t="e">
        <f>Black_deaths!E29-White_deaths!E29</f>
        <v>#VALUE!</v>
      </c>
      <c r="D29" t="e">
        <f t="shared" si="1"/>
        <v>#VALUE!</v>
      </c>
      <c r="E29" t="e">
        <f>Black_deaths!G29-White_deaths!G29</f>
        <v>#VALUE!</v>
      </c>
      <c r="F29" t="e">
        <f t="shared" si="2"/>
        <v>#VALUE!</v>
      </c>
      <c r="G29" t="e">
        <f>Black_deaths!I29-White_deaths!I29</f>
        <v>#VALUE!</v>
      </c>
      <c r="H29" t="e">
        <f t="shared" si="3"/>
        <v>#VALUE!</v>
      </c>
      <c r="I29">
        <f>Black_deaths!K29-White_deaths!K29</f>
        <v>-3</v>
      </c>
      <c r="J29">
        <f t="shared" ref="J29" si="29">IF(I29=0,J28,I29)</f>
        <v>-3</v>
      </c>
    </row>
    <row r="30" spans="1:10" x14ac:dyDescent="0.2">
      <c r="A30" t="e">
        <f>Black_deaths!C30-White_deaths!C30</f>
        <v>#VALUE!</v>
      </c>
      <c r="B30" t="e">
        <f t="shared" si="0"/>
        <v>#VALUE!</v>
      </c>
      <c r="C30" t="e">
        <f>Black_deaths!E30-White_deaths!E30</f>
        <v>#VALUE!</v>
      </c>
      <c r="D30" t="e">
        <f t="shared" si="1"/>
        <v>#VALUE!</v>
      </c>
      <c r="E30">
        <f>Black_deaths!G30-White_deaths!G30</f>
        <v>-26</v>
      </c>
      <c r="F30">
        <f t="shared" si="2"/>
        <v>-26</v>
      </c>
      <c r="G30">
        <f>Black_deaths!I30-White_deaths!I30</f>
        <v>-26</v>
      </c>
      <c r="H30">
        <f t="shared" si="3"/>
        <v>-26</v>
      </c>
      <c r="I30">
        <f>Black_deaths!K30-White_deaths!K30</f>
        <v>-26</v>
      </c>
      <c r="J30">
        <f t="shared" ref="J30" si="30">I30</f>
        <v>-26</v>
      </c>
    </row>
    <row r="31" spans="1:10" x14ac:dyDescent="0.2">
      <c r="A31" t="e">
        <f>Black_deaths!C31-White_deaths!C31</f>
        <v>#VALUE!</v>
      </c>
      <c r="B31" t="e">
        <f t="shared" si="0"/>
        <v>#VALUE!</v>
      </c>
      <c r="C31" t="e">
        <f>Black_deaths!E31-White_deaths!E31</f>
        <v>#VALUE!</v>
      </c>
      <c r="D31" t="e">
        <f t="shared" si="1"/>
        <v>#VALUE!</v>
      </c>
      <c r="E31" t="e">
        <f>Black_deaths!G31-White_deaths!G31</f>
        <v>#VALUE!</v>
      </c>
      <c r="F31" t="e">
        <f t="shared" si="2"/>
        <v>#VALUE!</v>
      </c>
      <c r="G31" t="e">
        <f>Black_deaths!I31-White_deaths!I31</f>
        <v>#VALUE!</v>
      </c>
      <c r="H31" t="e">
        <f t="shared" si="3"/>
        <v>#VALUE!</v>
      </c>
      <c r="I31">
        <f>Black_deaths!K31-White_deaths!K31</f>
        <v>-2</v>
      </c>
      <c r="J31">
        <f t="shared" ref="J31" si="31">IF(I31=0,J30,I31)</f>
        <v>-2</v>
      </c>
    </row>
    <row r="32" spans="1:10" x14ac:dyDescent="0.2">
      <c r="A32" t="e">
        <f>Black_deaths!C32-White_deaths!C32</f>
        <v>#VALUE!</v>
      </c>
      <c r="B32" t="e">
        <f t="shared" si="0"/>
        <v>#VALUE!</v>
      </c>
      <c r="C32" t="e">
        <f>Black_deaths!E32-White_deaths!E32</f>
        <v>#VALUE!</v>
      </c>
      <c r="D32" t="e">
        <f t="shared" si="1"/>
        <v>#VALUE!</v>
      </c>
      <c r="E32" t="e">
        <f>Black_deaths!G32-White_deaths!G32</f>
        <v>#VALUE!</v>
      </c>
      <c r="F32" t="e">
        <f t="shared" si="2"/>
        <v>#VALUE!</v>
      </c>
      <c r="G32">
        <f>Black_deaths!I32-White_deaths!I32</f>
        <v>-27</v>
      </c>
      <c r="H32">
        <f t="shared" si="3"/>
        <v>-27</v>
      </c>
      <c r="I32">
        <f>Black_deaths!K32-White_deaths!K32</f>
        <v>-27</v>
      </c>
      <c r="J32">
        <f t="shared" ref="J32" si="32">I32</f>
        <v>-27</v>
      </c>
    </row>
    <row r="33" spans="1:10" x14ac:dyDescent="0.2">
      <c r="A33" t="e">
        <f>Black_deaths!C33-White_deaths!C33</f>
        <v>#VALUE!</v>
      </c>
      <c r="B33" t="e">
        <f t="shared" si="0"/>
        <v>#VALUE!</v>
      </c>
      <c r="C33" t="e">
        <f>Black_deaths!E33-White_deaths!E33</f>
        <v>#VALUE!</v>
      </c>
      <c r="D33" t="e">
        <f t="shared" si="1"/>
        <v>#VALUE!</v>
      </c>
      <c r="E33" t="e">
        <f>Black_deaths!G33-White_deaths!G33</f>
        <v>#VALUE!</v>
      </c>
      <c r="F33" t="e">
        <f t="shared" si="2"/>
        <v>#VALUE!</v>
      </c>
      <c r="G33" t="e">
        <f>Black_deaths!I33-White_deaths!I33</f>
        <v>#VALUE!</v>
      </c>
      <c r="H33" t="e">
        <f t="shared" si="3"/>
        <v>#VALUE!</v>
      </c>
      <c r="I33">
        <f>Black_deaths!K33-White_deaths!K33</f>
        <v>1</v>
      </c>
      <c r="J33">
        <f t="shared" ref="J33" si="33">IF(I33=0,J32,I33)</f>
        <v>1</v>
      </c>
    </row>
    <row r="34" spans="1:10" x14ac:dyDescent="0.2">
      <c r="A34" t="e">
        <f>Black_deaths!C34-White_deaths!C34</f>
        <v>#VALUE!</v>
      </c>
      <c r="B34" t="e">
        <f t="shared" si="0"/>
        <v>#VALUE!</v>
      </c>
      <c r="C34" t="e">
        <f>Black_deaths!E34-White_deaths!E34</f>
        <v>#VALUE!</v>
      </c>
      <c r="D34" t="e">
        <f t="shared" si="1"/>
        <v>#VALUE!</v>
      </c>
      <c r="E34">
        <f>Black_deaths!G34-White_deaths!G34</f>
        <v>-26</v>
      </c>
      <c r="F34">
        <f t="shared" si="2"/>
        <v>-26</v>
      </c>
      <c r="G34">
        <f>Black_deaths!I34-White_deaths!I34</f>
        <v>-26</v>
      </c>
      <c r="H34">
        <f t="shared" si="3"/>
        <v>-26</v>
      </c>
      <c r="I34">
        <f>Black_deaths!K34-White_deaths!K34</f>
        <v>-26</v>
      </c>
      <c r="J34">
        <f t="shared" ref="J34" si="34">I34</f>
        <v>-26</v>
      </c>
    </row>
    <row r="35" spans="1:10" x14ac:dyDescent="0.2">
      <c r="A35" t="e">
        <f>Black_deaths!C35-White_deaths!C35</f>
        <v>#VALUE!</v>
      </c>
      <c r="B35" t="e">
        <f t="shared" si="0"/>
        <v>#VALUE!</v>
      </c>
      <c r="C35" t="e">
        <f>Black_deaths!E35-White_deaths!E35</f>
        <v>#VALUE!</v>
      </c>
      <c r="D35" t="e">
        <f t="shared" si="1"/>
        <v>#VALUE!</v>
      </c>
      <c r="E35" t="e">
        <f>Black_deaths!G35-White_deaths!G35</f>
        <v>#VALUE!</v>
      </c>
      <c r="F35" t="e">
        <f t="shared" si="2"/>
        <v>#VALUE!</v>
      </c>
      <c r="G35" t="e">
        <f>Black_deaths!I35-White_deaths!I35</f>
        <v>#VALUE!</v>
      </c>
      <c r="H35" t="e">
        <f t="shared" si="3"/>
        <v>#VALUE!</v>
      </c>
      <c r="I35">
        <f>Black_deaths!K35-White_deaths!K35</f>
        <v>-2</v>
      </c>
      <c r="J35">
        <f t="shared" ref="J35" si="35">IF(I35=0,J34,I35)</f>
        <v>-2</v>
      </c>
    </row>
    <row r="36" spans="1:10" x14ac:dyDescent="0.2">
      <c r="A36" t="e">
        <f>Black_deaths!C36-White_deaths!C36</f>
        <v>#VALUE!</v>
      </c>
      <c r="B36" t="e">
        <f t="shared" si="0"/>
        <v>#VALUE!</v>
      </c>
      <c r="C36" t="e">
        <f>Black_deaths!E36-White_deaths!E36</f>
        <v>#VALUE!</v>
      </c>
      <c r="D36" t="e">
        <f t="shared" si="1"/>
        <v>#VALUE!</v>
      </c>
      <c r="E36" t="e">
        <f>Black_deaths!G36-White_deaths!G36</f>
        <v>#VALUE!</v>
      </c>
      <c r="F36" t="e">
        <f t="shared" si="2"/>
        <v>#VALUE!</v>
      </c>
      <c r="G36">
        <f>Black_deaths!I36-White_deaths!I36</f>
        <v>-27</v>
      </c>
      <c r="H36">
        <f t="shared" si="3"/>
        <v>-27</v>
      </c>
      <c r="I36">
        <f>Black_deaths!K36-White_deaths!K36</f>
        <v>-27</v>
      </c>
      <c r="J36">
        <f t="shared" ref="J36" si="36">I36</f>
        <v>-27</v>
      </c>
    </row>
    <row r="37" spans="1:10" x14ac:dyDescent="0.2">
      <c r="A37" t="e">
        <f>Black_deaths!C37-White_deaths!C37</f>
        <v>#VALUE!</v>
      </c>
      <c r="B37" t="e">
        <f t="shared" si="0"/>
        <v>#VALUE!</v>
      </c>
      <c r="C37" t="e">
        <f>Black_deaths!E37-White_deaths!E37</f>
        <v>#VALUE!</v>
      </c>
      <c r="D37" t="e">
        <f t="shared" si="1"/>
        <v>#VALUE!</v>
      </c>
      <c r="E37" t="e">
        <f>Black_deaths!G37-White_deaths!G37</f>
        <v>#VALUE!</v>
      </c>
      <c r="F37" t="e">
        <f t="shared" si="2"/>
        <v>#VALUE!</v>
      </c>
      <c r="G37" t="e">
        <f>Black_deaths!I37-White_deaths!I37</f>
        <v>#VALUE!</v>
      </c>
      <c r="H37" t="e">
        <f t="shared" si="3"/>
        <v>#VALUE!</v>
      </c>
      <c r="I37">
        <f>Black_deaths!K37-White_deaths!K37</f>
        <v>0</v>
      </c>
      <c r="J37">
        <f t="shared" ref="J37" si="37">IF(I37=0,J36,I37)</f>
        <v>-27</v>
      </c>
    </row>
    <row r="38" spans="1:10" x14ac:dyDescent="0.2">
      <c r="A38" t="e">
        <f>Black_deaths!C38-White_deaths!C38</f>
        <v>#VALUE!</v>
      </c>
      <c r="B38" t="e">
        <f t="shared" si="0"/>
        <v>#VALUE!</v>
      </c>
      <c r="C38">
        <f>Black_deaths!E38-White_deaths!E38</f>
        <v>-25</v>
      </c>
      <c r="D38">
        <f t="shared" si="1"/>
        <v>-25</v>
      </c>
      <c r="E38">
        <f>Black_deaths!G38-White_deaths!G38</f>
        <v>-44</v>
      </c>
      <c r="F38">
        <f t="shared" si="2"/>
        <v>-44</v>
      </c>
      <c r="G38">
        <f>Black_deaths!I38-White_deaths!I38</f>
        <v>-44</v>
      </c>
      <c r="H38">
        <f t="shared" si="3"/>
        <v>-44</v>
      </c>
      <c r="I38">
        <f>Black_deaths!K38-White_deaths!K38</f>
        <v>-44</v>
      </c>
      <c r="J38">
        <f t="shared" ref="J38" si="38">I38</f>
        <v>-44</v>
      </c>
    </row>
    <row r="39" spans="1:10" x14ac:dyDescent="0.2">
      <c r="A39" t="e">
        <f>Black_deaths!C39-White_deaths!C39</f>
        <v>#VALUE!</v>
      </c>
      <c r="B39" t="e">
        <f t="shared" si="0"/>
        <v>#VALUE!</v>
      </c>
      <c r="C39" t="e">
        <f>Black_deaths!E39-White_deaths!E39</f>
        <v>#VALUE!</v>
      </c>
      <c r="D39" t="e">
        <f t="shared" si="1"/>
        <v>#VALUE!</v>
      </c>
      <c r="E39" t="e">
        <f>Black_deaths!G39-White_deaths!G39</f>
        <v>#VALUE!</v>
      </c>
      <c r="F39" t="e">
        <f t="shared" si="2"/>
        <v>#VALUE!</v>
      </c>
      <c r="G39" t="e">
        <f>Black_deaths!I39-White_deaths!I39</f>
        <v>#VALUE!</v>
      </c>
      <c r="H39" t="e">
        <f t="shared" si="3"/>
        <v>#VALUE!</v>
      </c>
      <c r="I39">
        <f>Black_deaths!K39-White_deaths!K39</f>
        <v>-8</v>
      </c>
      <c r="J39">
        <f t="shared" ref="J39" si="39">IF(I39=0,J38,I39)</f>
        <v>-8</v>
      </c>
    </row>
    <row r="40" spans="1:10" x14ac:dyDescent="0.2">
      <c r="A40" t="e">
        <f>Black_deaths!C40-White_deaths!C40</f>
        <v>#VALUE!</v>
      </c>
      <c r="B40" t="e">
        <f t="shared" si="0"/>
        <v>#VALUE!</v>
      </c>
      <c r="C40" t="e">
        <f>Black_deaths!E40-White_deaths!E40</f>
        <v>#VALUE!</v>
      </c>
      <c r="D40" t="e">
        <f t="shared" si="1"/>
        <v>#VALUE!</v>
      </c>
      <c r="E40" t="e">
        <f>Black_deaths!G40-White_deaths!G40</f>
        <v>#VALUE!</v>
      </c>
      <c r="F40" t="e">
        <f t="shared" si="2"/>
        <v>#VALUE!</v>
      </c>
      <c r="G40">
        <f>Black_deaths!I40-White_deaths!I40</f>
        <v>-45</v>
      </c>
      <c r="H40">
        <f t="shared" si="3"/>
        <v>-45</v>
      </c>
      <c r="I40">
        <f>Black_deaths!K40-White_deaths!K40</f>
        <v>-45</v>
      </c>
      <c r="J40">
        <f t="shared" ref="J40" si="40">I40</f>
        <v>-45</v>
      </c>
    </row>
    <row r="41" spans="1:10" x14ac:dyDescent="0.2">
      <c r="A41" t="e">
        <f>Black_deaths!C41-White_deaths!C41</f>
        <v>#VALUE!</v>
      </c>
      <c r="B41" t="e">
        <f t="shared" si="0"/>
        <v>#VALUE!</v>
      </c>
      <c r="C41" t="e">
        <f>Black_deaths!E41-White_deaths!E41</f>
        <v>#VALUE!</v>
      </c>
      <c r="D41" t="e">
        <f t="shared" si="1"/>
        <v>#VALUE!</v>
      </c>
      <c r="E41" t="e">
        <f>Black_deaths!G41-White_deaths!G41</f>
        <v>#VALUE!</v>
      </c>
      <c r="F41" t="e">
        <f t="shared" si="2"/>
        <v>#VALUE!</v>
      </c>
      <c r="G41" t="e">
        <f>Black_deaths!I41-White_deaths!I41</f>
        <v>#VALUE!</v>
      </c>
      <c r="H41" t="e">
        <f t="shared" si="3"/>
        <v>#VALUE!</v>
      </c>
      <c r="I41">
        <f>Black_deaths!K41-White_deaths!K41</f>
        <v>-5</v>
      </c>
      <c r="J41">
        <f t="shared" ref="J41" si="41">IF(I41=0,J40,I41)</f>
        <v>-5</v>
      </c>
    </row>
    <row r="42" spans="1:10" x14ac:dyDescent="0.2">
      <c r="A42" t="e">
        <f>Black_deaths!C42-White_deaths!C42</f>
        <v>#VALUE!</v>
      </c>
      <c r="B42" t="e">
        <f t="shared" si="0"/>
        <v>#VALUE!</v>
      </c>
      <c r="C42" t="e">
        <f>Black_deaths!E42-White_deaths!E42</f>
        <v>#VALUE!</v>
      </c>
      <c r="D42" t="e">
        <f t="shared" si="1"/>
        <v>#VALUE!</v>
      </c>
      <c r="E42">
        <f>Black_deaths!G42-White_deaths!G42</f>
        <v>-25</v>
      </c>
      <c r="F42">
        <f t="shared" si="2"/>
        <v>-25</v>
      </c>
      <c r="G42">
        <f>Black_deaths!I42-White_deaths!I42</f>
        <v>-25</v>
      </c>
      <c r="H42">
        <f t="shared" si="3"/>
        <v>-25</v>
      </c>
      <c r="I42">
        <f>Black_deaths!K42-White_deaths!K42</f>
        <v>-25</v>
      </c>
      <c r="J42">
        <f t="shared" ref="J42" si="42">I42</f>
        <v>-25</v>
      </c>
    </row>
    <row r="43" spans="1:10" x14ac:dyDescent="0.2">
      <c r="A43" t="e">
        <f>Black_deaths!C43-White_deaths!C43</f>
        <v>#VALUE!</v>
      </c>
      <c r="B43" t="e">
        <f t="shared" si="0"/>
        <v>#VALUE!</v>
      </c>
      <c r="C43" t="e">
        <f>Black_deaths!E43-White_deaths!E43</f>
        <v>#VALUE!</v>
      </c>
      <c r="D43" t="e">
        <f t="shared" si="1"/>
        <v>#VALUE!</v>
      </c>
      <c r="E43" t="e">
        <f>Black_deaths!G43-White_deaths!G43</f>
        <v>#VALUE!</v>
      </c>
      <c r="F43" t="e">
        <f t="shared" si="2"/>
        <v>#VALUE!</v>
      </c>
      <c r="G43" t="e">
        <f>Black_deaths!I43-White_deaths!I43</f>
        <v>#VALUE!</v>
      </c>
      <c r="H43" t="e">
        <f t="shared" si="3"/>
        <v>#VALUE!</v>
      </c>
      <c r="I43">
        <f>Black_deaths!K43-White_deaths!K43</f>
        <v>-4</v>
      </c>
      <c r="J43">
        <f t="shared" ref="J43" si="43">IF(I43=0,J42,I43)</f>
        <v>-4</v>
      </c>
    </row>
    <row r="44" spans="1:10" x14ac:dyDescent="0.2">
      <c r="A44" t="e">
        <f>Black_deaths!C44-White_deaths!C44</f>
        <v>#VALUE!</v>
      </c>
      <c r="B44" t="e">
        <f t="shared" si="0"/>
        <v>#VALUE!</v>
      </c>
      <c r="C44" t="e">
        <f>Black_deaths!E44-White_deaths!E44</f>
        <v>#VALUE!</v>
      </c>
      <c r="D44" t="e">
        <f t="shared" si="1"/>
        <v>#VALUE!</v>
      </c>
      <c r="E44" t="e">
        <f>Black_deaths!G44-White_deaths!G44</f>
        <v>#VALUE!</v>
      </c>
      <c r="F44" t="e">
        <f t="shared" si="2"/>
        <v>#VALUE!</v>
      </c>
      <c r="G44">
        <f>Black_deaths!I44-White_deaths!I44</f>
        <v>-25</v>
      </c>
      <c r="H44">
        <f t="shared" si="3"/>
        <v>-25</v>
      </c>
      <c r="I44">
        <f>Black_deaths!K44-White_deaths!K44</f>
        <v>-25</v>
      </c>
      <c r="J44">
        <f t="shared" ref="J44" si="44">I44</f>
        <v>-25</v>
      </c>
    </row>
    <row r="45" spans="1:10" x14ac:dyDescent="0.2">
      <c r="A45" t="e">
        <f>Black_deaths!C45-White_deaths!C45</f>
        <v>#VALUE!</v>
      </c>
      <c r="B45" t="e">
        <f t="shared" si="0"/>
        <v>#VALUE!</v>
      </c>
      <c r="C45" t="e">
        <f>Black_deaths!E45-White_deaths!E45</f>
        <v>#VALUE!</v>
      </c>
      <c r="D45" t="e">
        <f t="shared" si="1"/>
        <v>#VALUE!</v>
      </c>
      <c r="E45" t="e">
        <f>Black_deaths!G45-White_deaths!G45</f>
        <v>#VALUE!</v>
      </c>
      <c r="F45" t="e">
        <f t="shared" si="2"/>
        <v>#VALUE!</v>
      </c>
      <c r="G45" t="e">
        <f>Black_deaths!I45-White_deaths!I45</f>
        <v>#VALUE!</v>
      </c>
      <c r="H45" t="e">
        <f t="shared" si="3"/>
        <v>#VALUE!</v>
      </c>
      <c r="I45">
        <f>Black_deaths!K45-White_deaths!K45</f>
        <v>-2</v>
      </c>
      <c r="J45">
        <f t="shared" ref="J45" si="45">IF(I45=0,J44,I45)</f>
        <v>-2</v>
      </c>
    </row>
    <row r="46" spans="1:10" x14ac:dyDescent="0.2">
      <c r="A46" t="e">
        <f>Black_deaths!C46-White_deaths!C46</f>
        <v>#VALUE!</v>
      </c>
      <c r="B46" t="e">
        <f t="shared" si="0"/>
        <v>#VALUE!</v>
      </c>
      <c r="C46" t="e">
        <f>Black_deaths!E46-White_deaths!E46</f>
        <v>#VALUE!</v>
      </c>
      <c r="D46" t="e">
        <f t="shared" si="1"/>
        <v>#VALUE!</v>
      </c>
      <c r="E46">
        <f>Black_deaths!G46-White_deaths!G46</f>
        <v>-26</v>
      </c>
      <c r="F46">
        <f t="shared" si="2"/>
        <v>-26</v>
      </c>
      <c r="G46">
        <f>Black_deaths!I46-White_deaths!I46</f>
        <v>-26</v>
      </c>
      <c r="H46">
        <f t="shared" si="3"/>
        <v>-26</v>
      </c>
      <c r="I46">
        <f>Black_deaths!K46-White_deaths!K46</f>
        <v>-26</v>
      </c>
      <c r="J46">
        <f t="shared" ref="J46" si="46">I46</f>
        <v>-26</v>
      </c>
    </row>
    <row r="47" spans="1:10" x14ac:dyDescent="0.2">
      <c r="A47" t="e">
        <f>Black_deaths!C47-White_deaths!C47</f>
        <v>#VALUE!</v>
      </c>
      <c r="B47" t="e">
        <f t="shared" si="0"/>
        <v>#VALUE!</v>
      </c>
      <c r="C47" t="e">
        <f>Black_deaths!E47-White_deaths!E47</f>
        <v>#VALUE!</v>
      </c>
      <c r="D47" t="e">
        <f t="shared" si="1"/>
        <v>#VALUE!</v>
      </c>
      <c r="E47" t="e">
        <f>Black_deaths!G47-White_deaths!G47</f>
        <v>#VALUE!</v>
      </c>
      <c r="F47" t="e">
        <f t="shared" si="2"/>
        <v>#VALUE!</v>
      </c>
      <c r="G47" t="e">
        <f>Black_deaths!I47-White_deaths!I47</f>
        <v>#VALUE!</v>
      </c>
      <c r="H47" t="e">
        <f t="shared" si="3"/>
        <v>#VALUE!</v>
      </c>
      <c r="I47">
        <f>Black_deaths!K47-White_deaths!K47</f>
        <v>-6</v>
      </c>
      <c r="J47">
        <f t="shared" ref="J47" si="47">IF(I47=0,J46,I47)</f>
        <v>-6</v>
      </c>
    </row>
    <row r="48" spans="1:10" x14ac:dyDescent="0.2">
      <c r="A48" t="e">
        <f>Black_deaths!C48-White_deaths!C48</f>
        <v>#VALUE!</v>
      </c>
      <c r="B48" t="e">
        <f t="shared" si="0"/>
        <v>#VALUE!</v>
      </c>
      <c r="C48" t="e">
        <f>Black_deaths!E48-White_deaths!E48</f>
        <v>#VALUE!</v>
      </c>
      <c r="D48" t="e">
        <f t="shared" si="1"/>
        <v>#VALUE!</v>
      </c>
      <c r="E48" t="e">
        <f>Black_deaths!G48-White_deaths!G48</f>
        <v>#VALUE!</v>
      </c>
      <c r="F48" t="e">
        <f t="shared" si="2"/>
        <v>#VALUE!</v>
      </c>
      <c r="G48">
        <f>Black_deaths!I48-White_deaths!I48</f>
        <v>-27</v>
      </c>
      <c r="H48">
        <f t="shared" si="3"/>
        <v>-27</v>
      </c>
      <c r="I48">
        <f>Black_deaths!K48-White_deaths!K48</f>
        <v>-27</v>
      </c>
      <c r="J48">
        <f t="shared" ref="J48" si="48">I48</f>
        <v>-27</v>
      </c>
    </row>
    <row r="49" spans="1:10" x14ac:dyDescent="0.2">
      <c r="A49" t="e">
        <f>Black_deaths!C49-White_deaths!C49</f>
        <v>#VALUE!</v>
      </c>
      <c r="B49" t="e">
        <f t="shared" si="0"/>
        <v>#VALUE!</v>
      </c>
      <c r="C49" t="e">
        <f>Black_deaths!E49-White_deaths!E49</f>
        <v>#VALUE!</v>
      </c>
      <c r="D49" t="e">
        <f t="shared" si="1"/>
        <v>#VALUE!</v>
      </c>
      <c r="E49" t="e">
        <f>Black_deaths!G49-White_deaths!G49</f>
        <v>#VALUE!</v>
      </c>
      <c r="F49" t="e">
        <f t="shared" si="2"/>
        <v>#VALUE!</v>
      </c>
      <c r="G49" t="e">
        <f>Black_deaths!I49-White_deaths!I49</f>
        <v>#VALUE!</v>
      </c>
      <c r="H49" t="e">
        <f t="shared" si="3"/>
        <v>#VALUE!</v>
      </c>
      <c r="I49">
        <f>Black_deaths!K49-White_deaths!K49</f>
        <v>-3</v>
      </c>
      <c r="J49">
        <f t="shared" ref="J49" si="49">IF(I49=0,J48,I49)</f>
        <v>-3</v>
      </c>
    </row>
    <row r="50" spans="1:10" x14ac:dyDescent="0.2">
      <c r="A50">
        <f>Black_deaths!C50-White_deaths!C50</f>
        <v>-40</v>
      </c>
      <c r="B50">
        <f t="shared" si="0"/>
        <v>-40</v>
      </c>
      <c r="C50">
        <f>Black_deaths!E50-White_deaths!E50</f>
        <v>-40</v>
      </c>
      <c r="D50">
        <f t="shared" si="1"/>
        <v>-40</v>
      </c>
      <c r="E50">
        <f>Black_deaths!G50-White_deaths!G50</f>
        <v>-66</v>
      </c>
      <c r="F50">
        <f t="shared" si="2"/>
        <v>-66</v>
      </c>
      <c r="G50">
        <f>Black_deaths!I50-White_deaths!I50</f>
        <v>-66</v>
      </c>
      <c r="H50">
        <f t="shared" si="3"/>
        <v>-66</v>
      </c>
      <c r="I50">
        <f>Black_deaths!K50-White_deaths!K50</f>
        <v>-66</v>
      </c>
      <c r="J50">
        <f t="shared" ref="J50" si="50">I50</f>
        <v>-66</v>
      </c>
    </row>
    <row r="51" spans="1:10" x14ac:dyDescent="0.2">
      <c r="A51" t="e">
        <f>Black_deaths!C51-White_deaths!C51</f>
        <v>#VALUE!</v>
      </c>
      <c r="B51" t="e">
        <f t="shared" si="0"/>
        <v>#VALUE!</v>
      </c>
      <c r="C51" t="e">
        <f>Black_deaths!E51-White_deaths!E51</f>
        <v>#VALUE!</v>
      </c>
      <c r="D51" t="e">
        <f t="shared" si="1"/>
        <v>#VALUE!</v>
      </c>
      <c r="E51" t="e">
        <f>Black_deaths!G51-White_deaths!G51</f>
        <v>#VALUE!</v>
      </c>
      <c r="F51" t="e">
        <f t="shared" si="2"/>
        <v>#VALUE!</v>
      </c>
      <c r="G51" t="e">
        <f>Black_deaths!I51-White_deaths!I51</f>
        <v>#VALUE!</v>
      </c>
      <c r="H51" t="e">
        <f t="shared" si="3"/>
        <v>#VALUE!</v>
      </c>
      <c r="I51">
        <f>Black_deaths!K51-White_deaths!K51</f>
        <v>-10</v>
      </c>
      <c r="J51">
        <f t="shared" ref="J51" si="51">IF(I51=0,J50,I51)</f>
        <v>-10</v>
      </c>
    </row>
    <row r="52" spans="1:10" x14ac:dyDescent="0.2">
      <c r="A52" t="e">
        <f>Black_deaths!C52-White_deaths!C52</f>
        <v>#VALUE!</v>
      </c>
      <c r="B52" t="e">
        <f t="shared" si="0"/>
        <v>#VALUE!</v>
      </c>
      <c r="C52" t="e">
        <f>Black_deaths!E52-White_deaths!E52</f>
        <v>#VALUE!</v>
      </c>
      <c r="D52" t="e">
        <f t="shared" si="1"/>
        <v>#VALUE!</v>
      </c>
      <c r="E52" t="e">
        <f>Black_deaths!G52-White_deaths!G52</f>
        <v>#VALUE!</v>
      </c>
      <c r="F52" t="e">
        <f t="shared" si="2"/>
        <v>#VALUE!</v>
      </c>
      <c r="G52">
        <f>Black_deaths!I52-White_deaths!I52</f>
        <v>-69</v>
      </c>
      <c r="H52">
        <f t="shared" si="3"/>
        <v>-69</v>
      </c>
      <c r="I52">
        <f>Black_deaths!K52-White_deaths!K52</f>
        <v>-69</v>
      </c>
      <c r="J52">
        <f t="shared" ref="J52" si="52">I52</f>
        <v>-69</v>
      </c>
    </row>
    <row r="53" spans="1:10" x14ac:dyDescent="0.2">
      <c r="A53" t="e">
        <f>Black_deaths!C53-White_deaths!C53</f>
        <v>#VALUE!</v>
      </c>
      <c r="B53" t="e">
        <f t="shared" si="0"/>
        <v>#VALUE!</v>
      </c>
      <c r="C53" t="e">
        <f>Black_deaths!E53-White_deaths!E53</f>
        <v>#VALUE!</v>
      </c>
      <c r="D53" t="e">
        <f t="shared" si="1"/>
        <v>#VALUE!</v>
      </c>
      <c r="E53" t="e">
        <f>Black_deaths!G53-White_deaths!G53</f>
        <v>#VALUE!</v>
      </c>
      <c r="F53" t="e">
        <f t="shared" si="2"/>
        <v>#VALUE!</v>
      </c>
      <c r="G53" t="e">
        <f>Black_deaths!I53-White_deaths!I53</f>
        <v>#VALUE!</v>
      </c>
      <c r="H53" t="e">
        <f t="shared" si="3"/>
        <v>#VALUE!</v>
      </c>
      <c r="I53">
        <f>Black_deaths!K53-White_deaths!K53</f>
        <v>-8</v>
      </c>
      <c r="J53">
        <f t="shared" ref="J53" si="53">IF(I53=0,J52,I53)</f>
        <v>-8</v>
      </c>
    </row>
    <row r="54" spans="1:10" x14ac:dyDescent="0.2">
      <c r="A54" t="e">
        <f>Black_deaths!C54-White_deaths!C54</f>
        <v>#VALUE!</v>
      </c>
      <c r="B54" t="e">
        <f t="shared" si="0"/>
        <v>#VALUE!</v>
      </c>
      <c r="C54" t="e">
        <f>Black_deaths!E54-White_deaths!E54</f>
        <v>#VALUE!</v>
      </c>
      <c r="D54" t="e">
        <f t="shared" si="1"/>
        <v>#VALUE!</v>
      </c>
      <c r="E54">
        <f>Black_deaths!G54-White_deaths!G54</f>
        <v>-40</v>
      </c>
      <c r="F54">
        <f t="shared" si="2"/>
        <v>-40</v>
      </c>
      <c r="G54">
        <f>Black_deaths!I54-White_deaths!I54</f>
        <v>-40</v>
      </c>
      <c r="H54">
        <f t="shared" si="3"/>
        <v>-40</v>
      </c>
      <c r="I54">
        <f>Black_deaths!K54-White_deaths!K54</f>
        <v>-40</v>
      </c>
      <c r="J54">
        <f t="shared" ref="J54" si="54">I54</f>
        <v>-40</v>
      </c>
    </row>
    <row r="55" spans="1:10" x14ac:dyDescent="0.2">
      <c r="A55" t="e">
        <f>Black_deaths!C55-White_deaths!C55</f>
        <v>#VALUE!</v>
      </c>
      <c r="B55" t="e">
        <f t="shared" si="0"/>
        <v>#VALUE!</v>
      </c>
      <c r="C55" t="e">
        <f>Black_deaths!E55-White_deaths!E55</f>
        <v>#VALUE!</v>
      </c>
      <c r="D55" t="e">
        <f t="shared" si="1"/>
        <v>#VALUE!</v>
      </c>
      <c r="E55" t="e">
        <f>Black_deaths!G55-White_deaths!G55</f>
        <v>#VALUE!</v>
      </c>
      <c r="F55" t="e">
        <f t="shared" si="2"/>
        <v>#VALUE!</v>
      </c>
      <c r="G55" t="e">
        <f>Black_deaths!I55-White_deaths!I55</f>
        <v>#VALUE!</v>
      </c>
      <c r="H55" t="e">
        <f t="shared" si="3"/>
        <v>#VALUE!</v>
      </c>
      <c r="I55">
        <f>Black_deaths!K55-White_deaths!K55</f>
        <v>-2</v>
      </c>
      <c r="J55">
        <f t="shared" ref="J55" si="55">IF(I55=0,J54,I55)</f>
        <v>-2</v>
      </c>
    </row>
    <row r="56" spans="1:10" x14ac:dyDescent="0.2">
      <c r="A56" t="e">
        <f>Black_deaths!C56-White_deaths!C56</f>
        <v>#VALUE!</v>
      </c>
      <c r="B56" t="e">
        <f t="shared" si="0"/>
        <v>#VALUE!</v>
      </c>
      <c r="C56" t="e">
        <f>Black_deaths!E56-White_deaths!E56</f>
        <v>#VALUE!</v>
      </c>
      <c r="D56" t="e">
        <f t="shared" si="1"/>
        <v>#VALUE!</v>
      </c>
      <c r="E56" t="e">
        <f>Black_deaths!G56-White_deaths!G56</f>
        <v>#VALUE!</v>
      </c>
      <c r="F56" t="e">
        <f t="shared" si="2"/>
        <v>#VALUE!</v>
      </c>
      <c r="G56">
        <f>Black_deaths!I56-White_deaths!I56</f>
        <v>-42</v>
      </c>
      <c r="H56">
        <f t="shared" si="3"/>
        <v>-42</v>
      </c>
      <c r="I56">
        <f>Black_deaths!K56-White_deaths!K56</f>
        <v>-42</v>
      </c>
      <c r="J56">
        <f t="shared" ref="J56" si="56">I56</f>
        <v>-42</v>
      </c>
    </row>
    <row r="57" spans="1:10" x14ac:dyDescent="0.2">
      <c r="A57" t="e">
        <f>Black_deaths!C57-White_deaths!C57</f>
        <v>#VALUE!</v>
      </c>
      <c r="B57" t="e">
        <f t="shared" si="0"/>
        <v>#VALUE!</v>
      </c>
      <c r="C57" t="e">
        <f>Black_deaths!E57-White_deaths!E57</f>
        <v>#VALUE!</v>
      </c>
      <c r="D57" t="e">
        <f t="shared" si="1"/>
        <v>#VALUE!</v>
      </c>
      <c r="E57" t="e">
        <f>Black_deaths!G57-White_deaths!G57</f>
        <v>#VALUE!</v>
      </c>
      <c r="F57" t="e">
        <f t="shared" si="2"/>
        <v>#VALUE!</v>
      </c>
      <c r="G57" t="e">
        <f>Black_deaths!I57-White_deaths!I57</f>
        <v>#VALUE!</v>
      </c>
      <c r="H57" t="e">
        <f t="shared" si="3"/>
        <v>#VALUE!</v>
      </c>
      <c r="I57">
        <f>Black_deaths!K57-White_deaths!K57</f>
        <v>-1</v>
      </c>
      <c r="J57">
        <f t="shared" ref="J57" si="57">IF(I57=0,J56,I57)</f>
        <v>-1</v>
      </c>
    </row>
    <row r="58" spans="1:10" x14ac:dyDescent="0.2">
      <c r="A58" t="e">
        <f>Black_deaths!C58-White_deaths!C58</f>
        <v>#VALUE!</v>
      </c>
      <c r="B58" t="e">
        <f t="shared" si="0"/>
        <v>#VALUE!</v>
      </c>
      <c r="C58" t="e">
        <f>Black_deaths!E58-White_deaths!E58</f>
        <v>#VALUE!</v>
      </c>
      <c r="D58" t="e">
        <f t="shared" si="1"/>
        <v>#VALUE!</v>
      </c>
      <c r="E58">
        <f>Black_deaths!G58-White_deaths!G58</f>
        <v>-39</v>
      </c>
      <c r="F58">
        <f t="shared" si="2"/>
        <v>-39</v>
      </c>
      <c r="G58">
        <f>Black_deaths!I58-White_deaths!I58</f>
        <v>-39</v>
      </c>
      <c r="H58">
        <f t="shared" si="3"/>
        <v>-39</v>
      </c>
      <c r="I58">
        <f>Black_deaths!K58-White_deaths!K58</f>
        <v>-39</v>
      </c>
      <c r="J58">
        <f t="shared" ref="J58" si="58">I58</f>
        <v>-39</v>
      </c>
    </row>
    <row r="59" spans="1:10" x14ac:dyDescent="0.2">
      <c r="A59" t="e">
        <f>Black_deaths!C59-White_deaths!C59</f>
        <v>#VALUE!</v>
      </c>
      <c r="B59" t="e">
        <f t="shared" si="0"/>
        <v>#VALUE!</v>
      </c>
      <c r="C59" t="e">
        <f>Black_deaths!E59-White_deaths!E59</f>
        <v>#VALUE!</v>
      </c>
      <c r="D59" t="e">
        <f t="shared" si="1"/>
        <v>#VALUE!</v>
      </c>
      <c r="E59" t="e">
        <f>Black_deaths!G59-White_deaths!G59</f>
        <v>#VALUE!</v>
      </c>
      <c r="F59" t="e">
        <f t="shared" si="2"/>
        <v>#VALUE!</v>
      </c>
      <c r="G59" t="e">
        <f>Black_deaths!I59-White_deaths!I59</f>
        <v>#VALUE!</v>
      </c>
      <c r="H59" t="e">
        <f t="shared" si="3"/>
        <v>#VALUE!</v>
      </c>
      <c r="I59">
        <f>Black_deaths!K59-White_deaths!K59</f>
        <v>-3</v>
      </c>
      <c r="J59">
        <f t="shared" ref="J59" si="59">IF(I59=0,J58,I59)</f>
        <v>-3</v>
      </c>
    </row>
    <row r="60" spans="1:10" x14ac:dyDescent="0.2">
      <c r="A60" t="e">
        <f>Black_deaths!C60-White_deaths!C60</f>
        <v>#VALUE!</v>
      </c>
      <c r="B60" t="e">
        <f t="shared" si="0"/>
        <v>#VALUE!</v>
      </c>
      <c r="C60" t="e">
        <f>Black_deaths!E60-White_deaths!E60</f>
        <v>#VALUE!</v>
      </c>
      <c r="D60" t="e">
        <f t="shared" si="1"/>
        <v>#VALUE!</v>
      </c>
      <c r="E60" t="e">
        <f>Black_deaths!G60-White_deaths!G60</f>
        <v>#VALUE!</v>
      </c>
      <c r="F60" t="e">
        <f t="shared" si="2"/>
        <v>#VALUE!</v>
      </c>
      <c r="G60">
        <f>Black_deaths!I60-White_deaths!I60</f>
        <v>-40</v>
      </c>
      <c r="H60">
        <f t="shared" si="3"/>
        <v>-40</v>
      </c>
      <c r="I60">
        <f>Black_deaths!K60-White_deaths!K60</f>
        <v>-40</v>
      </c>
      <c r="J60">
        <f t="shared" ref="J60" si="60">I60</f>
        <v>-40</v>
      </c>
    </row>
    <row r="61" spans="1:10" x14ac:dyDescent="0.2">
      <c r="A61" t="e">
        <f>Black_deaths!C61-White_deaths!C61</f>
        <v>#VALUE!</v>
      </c>
      <c r="B61" t="e">
        <f t="shared" si="0"/>
        <v>#VALUE!</v>
      </c>
      <c r="C61" t="e">
        <f>Black_deaths!E61-White_deaths!E61</f>
        <v>#VALUE!</v>
      </c>
      <c r="D61" t="e">
        <f t="shared" si="1"/>
        <v>#VALUE!</v>
      </c>
      <c r="E61" t="e">
        <f>Black_deaths!G61-White_deaths!G61</f>
        <v>#VALUE!</v>
      </c>
      <c r="F61" t="e">
        <f t="shared" si="2"/>
        <v>#VALUE!</v>
      </c>
      <c r="G61" t="e">
        <f>Black_deaths!I61-White_deaths!I61</f>
        <v>#VALUE!</v>
      </c>
      <c r="H61" t="e">
        <f t="shared" si="3"/>
        <v>#VALUE!</v>
      </c>
      <c r="I61">
        <f>Black_deaths!K61-White_deaths!K61</f>
        <v>-1</v>
      </c>
      <c r="J61">
        <f t="shared" ref="J61" si="61">IF(I61=0,J60,I61)</f>
        <v>-1</v>
      </c>
    </row>
    <row r="62" spans="1:10" x14ac:dyDescent="0.2">
      <c r="A62" t="e">
        <f>Black_deaths!C62-White_deaths!C62</f>
        <v>#VALUE!</v>
      </c>
      <c r="B62" t="e">
        <f t="shared" si="0"/>
        <v>#VALUE!</v>
      </c>
      <c r="C62">
        <f>Black_deaths!E62-White_deaths!E62</f>
        <v>-37</v>
      </c>
      <c r="D62">
        <f t="shared" si="1"/>
        <v>-37</v>
      </c>
      <c r="E62">
        <f>Black_deaths!G62-White_deaths!G62</f>
        <v>-67</v>
      </c>
      <c r="F62">
        <f t="shared" si="2"/>
        <v>-67</v>
      </c>
      <c r="G62">
        <f>Black_deaths!I62-White_deaths!I62</f>
        <v>-67</v>
      </c>
      <c r="H62">
        <f t="shared" si="3"/>
        <v>-67</v>
      </c>
      <c r="I62">
        <f>Black_deaths!K62-White_deaths!K62</f>
        <v>-67</v>
      </c>
      <c r="J62">
        <f t="shared" ref="J62" si="62">I62</f>
        <v>-67</v>
      </c>
    </row>
    <row r="63" spans="1:10" x14ac:dyDescent="0.2">
      <c r="A63" t="e">
        <f>Black_deaths!C63-White_deaths!C63</f>
        <v>#VALUE!</v>
      </c>
      <c r="B63" t="e">
        <f t="shared" si="0"/>
        <v>#VALUE!</v>
      </c>
      <c r="C63" t="e">
        <f>Black_deaths!E63-White_deaths!E63</f>
        <v>#VALUE!</v>
      </c>
      <c r="D63" t="e">
        <f t="shared" si="1"/>
        <v>#VALUE!</v>
      </c>
      <c r="E63" t="e">
        <f>Black_deaths!G63-White_deaths!G63</f>
        <v>#VALUE!</v>
      </c>
      <c r="F63" t="e">
        <f t="shared" si="2"/>
        <v>#VALUE!</v>
      </c>
      <c r="G63" t="e">
        <f>Black_deaths!I63-White_deaths!I63</f>
        <v>#VALUE!</v>
      </c>
      <c r="H63" t="e">
        <f t="shared" si="3"/>
        <v>#VALUE!</v>
      </c>
      <c r="I63">
        <f>Black_deaths!K63-White_deaths!K63</f>
        <v>-11</v>
      </c>
      <c r="J63">
        <f t="shared" ref="J63" si="63">IF(I63=0,J62,I63)</f>
        <v>-11</v>
      </c>
    </row>
    <row r="64" spans="1:10" x14ac:dyDescent="0.2">
      <c r="A64" t="e">
        <f>Black_deaths!C64-White_deaths!C64</f>
        <v>#VALUE!</v>
      </c>
      <c r="B64" t="e">
        <f t="shared" si="0"/>
        <v>#VALUE!</v>
      </c>
      <c r="C64" t="e">
        <f>Black_deaths!E64-White_deaths!E64</f>
        <v>#VALUE!</v>
      </c>
      <c r="D64" t="e">
        <f t="shared" si="1"/>
        <v>#VALUE!</v>
      </c>
      <c r="E64" t="e">
        <f>Black_deaths!G64-White_deaths!G64</f>
        <v>#VALUE!</v>
      </c>
      <c r="F64" t="e">
        <f t="shared" si="2"/>
        <v>#VALUE!</v>
      </c>
      <c r="G64">
        <f>Black_deaths!I64-White_deaths!I64</f>
        <v>-70</v>
      </c>
      <c r="H64">
        <f t="shared" si="3"/>
        <v>-70</v>
      </c>
      <c r="I64">
        <f>Black_deaths!K64-White_deaths!K64</f>
        <v>-70</v>
      </c>
      <c r="J64">
        <f t="shared" ref="J64" si="64">I64</f>
        <v>-70</v>
      </c>
    </row>
    <row r="65" spans="1:10" x14ac:dyDescent="0.2">
      <c r="A65" t="e">
        <f>Black_deaths!C65-White_deaths!C65</f>
        <v>#VALUE!</v>
      </c>
      <c r="B65" t="e">
        <f t="shared" si="0"/>
        <v>#VALUE!</v>
      </c>
      <c r="C65" t="e">
        <f>Black_deaths!E65-White_deaths!E65</f>
        <v>#VALUE!</v>
      </c>
      <c r="D65" t="e">
        <f t="shared" si="1"/>
        <v>#VALUE!</v>
      </c>
      <c r="E65" t="e">
        <f>Black_deaths!G65-White_deaths!G65</f>
        <v>#VALUE!</v>
      </c>
      <c r="F65" t="e">
        <f t="shared" si="2"/>
        <v>#VALUE!</v>
      </c>
      <c r="G65" t="e">
        <f>Black_deaths!I65-White_deaths!I65</f>
        <v>#VALUE!</v>
      </c>
      <c r="H65" t="e">
        <f t="shared" si="3"/>
        <v>#VALUE!</v>
      </c>
      <c r="I65">
        <f>Black_deaths!K65-White_deaths!K65</f>
        <v>-10</v>
      </c>
      <c r="J65">
        <f t="shared" ref="J65" si="65">IF(I65=0,J64,I65)</f>
        <v>-10</v>
      </c>
    </row>
    <row r="66" spans="1:10" x14ac:dyDescent="0.2">
      <c r="A66" t="e">
        <f>Black_deaths!C66-White_deaths!C66</f>
        <v>#VALUE!</v>
      </c>
      <c r="B66" t="e">
        <f t="shared" si="0"/>
        <v>#VALUE!</v>
      </c>
      <c r="C66" t="e">
        <f>Black_deaths!E66-White_deaths!E66</f>
        <v>#VALUE!</v>
      </c>
      <c r="D66" t="e">
        <f t="shared" si="1"/>
        <v>#VALUE!</v>
      </c>
      <c r="E66">
        <f>Black_deaths!G66-White_deaths!G66</f>
        <v>-37</v>
      </c>
      <c r="F66">
        <f t="shared" si="2"/>
        <v>-37</v>
      </c>
      <c r="G66">
        <f>Black_deaths!I66-White_deaths!I66</f>
        <v>-37</v>
      </c>
      <c r="H66">
        <f t="shared" si="3"/>
        <v>-37</v>
      </c>
      <c r="I66">
        <f>Black_deaths!K66-White_deaths!K66</f>
        <v>-37</v>
      </c>
      <c r="J66">
        <f t="shared" ref="J66" si="66">I66</f>
        <v>-37</v>
      </c>
    </row>
    <row r="67" spans="1:10" x14ac:dyDescent="0.2">
      <c r="A67" t="e">
        <f>Black_deaths!C67-White_deaths!C67</f>
        <v>#VALUE!</v>
      </c>
      <c r="B67" t="e">
        <f t="shared" si="0"/>
        <v>#VALUE!</v>
      </c>
      <c r="C67" t="e">
        <f>Black_deaths!E67-White_deaths!E67</f>
        <v>#VALUE!</v>
      </c>
      <c r="D67" t="e">
        <f t="shared" si="1"/>
        <v>#VALUE!</v>
      </c>
      <c r="E67" t="e">
        <f>Black_deaths!G67-White_deaths!G67</f>
        <v>#VALUE!</v>
      </c>
      <c r="F67" t="e">
        <f t="shared" si="2"/>
        <v>#VALUE!</v>
      </c>
      <c r="G67" t="e">
        <f>Black_deaths!I67-White_deaths!I67</f>
        <v>#VALUE!</v>
      </c>
      <c r="H67" t="e">
        <f t="shared" si="3"/>
        <v>#VALUE!</v>
      </c>
      <c r="I67">
        <f>Black_deaths!K67-White_deaths!K67</f>
        <v>-6</v>
      </c>
      <c r="J67">
        <f t="shared" ref="J67" si="67">IF(I67=0,J66,I67)</f>
        <v>-6</v>
      </c>
    </row>
    <row r="68" spans="1:10" x14ac:dyDescent="0.2">
      <c r="A68" t="e">
        <f>Black_deaths!C68-White_deaths!C68</f>
        <v>#VALUE!</v>
      </c>
      <c r="B68" t="e">
        <f t="shared" ref="B68:B73" si="68">IF(A68=0,B67,A68)</f>
        <v>#VALUE!</v>
      </c>
      <c r="C68" t="e">
        <f>Black_deaths!E68-White_deaths!E68</f>
        <v>#VALUE!</v>
      </c>
      <c r="D68" t="e">
        <f t="shared" ref="D68:D73" si="69">IF(C68=0,D67,C68)</f>
        <v>#VALUE!</v>
      </c>
      <c r="E68" t="e">
        <f>Black_deaths!G68-White_deaths!G68</f>
        <v>#VALUE!</v>
      </c>
      <c r="F68" t="e">
        <f t="shared" ref="F68:F73" si="70">IF(E68=0,F67,E68)</f>
        <v>#VALUE!</v>
      </c>
      <c r="G68">
        <f>Black_deaths!I68-White_deaths!I68</f>
        <v>-38</v>
      </c>
      <c r="H68">
        <f t="shared" ref="H68:H73" si="71">IF(G68=0,H67,G68)</f>
        <v>-38</v>
      </c>
      <c r="I68">
        <f>Black_deaths!K68-White_deaths!K68</f>
        <v>-38</v>
      </c>
      <c r="J68">
        <f t="shared" ref="J68" si="72">I68</f>
        <v>-38</v>
      </c>
    </row>
    <row r="69" spans="1:10" x14ac:dyDescent="0.2">
      <c r="A69" t="e">
        <f>Black_deaths!C69-White_deaths!C69</f>
        <v>#VALUE!</v>
      </c>
      <c r="B69" t="e">
        <f t="shared" si="68"/>
        <v>#VALUE!</v>
      </c>
      <c r="C69" t="e">
        <f>Black_deaths!E69-White_deaths!E69</f>
        <v>#VALUE!</v>
      </c>
      <c r="D69" t="e">
        <f t="shared" si="69"/>
        <v>#VALUE!</v>
      </c>
      <c r="E69" t="e">
        <f>Black_deaths!G69-White_deaths!G69</f>
        <v>#VALUE!</v>
      </c>
      <c r="F69" t="e">
        <f t="shared" si="70"/>
        <v>#VALUE!</v>
      </c>
      <c r="G69" t="e">
        <f>Black_deaths!I69-White_deaths!I69</f>
        <v>#VALUE!</v>
      </c>
      <c r="H69" t="e">
        <f t="shared" si="71"/>
        <v>#VALUE!</v>
      </c>
      <c r="I69">
        <f>Black_deaths!K69-White_deaths!K69</f>
        <v>-5</v>
      </c>
      <c r="J69">
        <f t="shared" ref="J69" si="73">IF(I69=0,J68,I69)</f>
        <v>-5</v>
      </c>
    </row>
    <row r="70" spans="1:10" x14ac:dyDescent="0.2">
      <c r="A70" t="e">
        <f>Black_deaths!C70-White_deaths!C70</f>
        <v>#VALUE!</v>
      </c>
      <c r="B70" t="e">
        <f t="shared" si="68"/>
        <v>#VALUE!</v>
      </c>
      <c r="C70" t="e">
        <f>Black_deaths!E70-White_deaths!E70</f>
        <v>#VALUE!</v>
      </c>
      <c r="D70" t="e">
        <f t="shared" si="69"/>
        <v>#VALUE!</v>
      </c>
      <c r="E70">
        <f>Black_deaths!G70-White_deaths!G70</f>
        <v>-38</v>
      </c>
      <c r="F70">
        <f t="shared" si="70"/>
        <v>-38</v>
      </c>
      <c r="G70">
        <f>Black_deaths!I70-White_deaths!I70</f>
        <v>-38</v>
      </c>
      <c r="H70">
        <f t="shared" si="71"/>
        <v>-38</v>
      </c>
      <c r="I70">
        <f>Black_deaths!K70-White_deaths!K70</f>
        <v>-38</v>
      </c>
      <c r="J70">
        <f t="shared" ref="J70" si="74">I70</f>
        <v>-38</v>
      </c>
    </row>
    <row r="71" spans="1:10" x14ac:dyDescent="0.2">
      <c r="A71" t="e">
        <f>Black_deaths!C71-White_deaths!C71</f>
        <v>#VALUE!</v>
      </c>
      <c r="B71" t="e">
        <f t="shared" si="68"/>
        <v>#VALUE!</v>
      </c>
      <c r="C71" t="e">
        <f>Black_deaths!E71-White_deaths!E71</f>
        <v>#VALUE!</v>
      </c>
      <c r="D71" t="e">
        <f t="shared" si="69"/>
        <v>#VALUE!</v>
      </c>
      <c r="E71" t="e">
        <f>Black_deaths!G71-White_deaths!G71</f>
        <v>#VALUE!</v>
      </c>
      <c r="F71" t="e">
        <f t="shared" si="70"/>
        <v>#VALUE!</v>
      </c>
      <c r="G71" t="e">
        <f>Black_deaths!I71-White_deaths!I71</f>
        <v>#VALUE!</v>
      </c>
      <c r="H71" t="e">
        <f t="shared" si="71"/>
        <v>#VALUE!</v>
      </c>
      <c r="I71">
        <f>Black_deaths!K71-White_deaths!K71</f>
        <v>-8</v>
      </c>
      <c r="J71">
        <f t="shared" ref="J71" si="75">IF(I71=0,J70,I71)</f>
        <v>-8</v>
      </c>
    </row>
    <row r="72" spans="1:10" x14ac:dyDescent="0.2">
      <c r="A72" t="e">
        <f>Black_deaths!C72-White_deaths!C72</f>
        <v>#VALUE!</v>
      </c>
      <c r="B72" t="e">
        <f t="shared" si="68"/>
        <v>#VALUE!</v>
      </c>
      <c r="C72" t="e">
        <f>Black_deaths!E72-White_deaths!E72</f>
        <v>#VALUE!</v>
      </c>
      <c r="D72" t="e">
        <f t="shared" si="69"/>
        <v>#VALUE!</v>
      </c>
      <c r="E72" t="e">
        <f>Black_deaths!G72-White_deaths!G72</f>
        <v>#VALUE!</v>
      </c>
      <c r="F72" t="e">
        <f t="shared" si="70"/>
        <v>#VALUE!</v>
      </c>
      <c r="G72">
        <f>Black_deaths!I72-White_deaths!I72</f>
        <v>-40</v>
      </c>
      <c r="H72">
        <f t="shared" si="71"/>
        <v>-40</v>
      </c>
      <c r="I72">
        <f>Black_deaths!K72-White_deaths!K72</f>
        <v>-40</v>
      </c>
      <c r="J72">
        <f t="shared" ref="J72" si="76">I72</f>
        <v>-40</v>
      </c>
    </row>
    <row r="73" spans="1:10" x14ac:dyDescent="0.2">
      <c r="A73">
        <f>Black_deaths!C73-White_deaths!C73</f>
        <v>0</v>
      </c>
      <c r="B73" t="e">
        <f t="shared" si="68"/>
        <v>#VALUE!</v>
      </c>
      <c r="C73" t="e">
        <f>Black_deaths!E73-White_deaths!E73</f>
        <v>#VALUE!</v>
      </c>
      <c r="D73" t="e">
        <f t="shared" si="69"/>
        <v>#VALUE!</v>
      </c>
      <c r="E73" t="e">
        <f>Black_deaths!G73-White_deaths!G73</f>
        <v>#VALUE!</v>
      </c>
      <c r="F73" t="e">
        <f t="shared" si="70"/>
        <v>#VALUE!</v>
      </c>
      <c r="G73" t="e">
        <f>Black_deaths!I73-White_deaths!I73</f>
        <v>#VALUE!</v>
      </c>
      <c r="H73" t="e">
        <f t="shared" si="71"/>
        <v>#VALUE!</v>
      </c>
      <c r="I73">
        <f>Black_deaths!K73-White_deaths!K73</f>
        <v>-6</v>
      </c>
      <c r="J73">
        <f t="shared" ref="J73" si="77">IF(I73=0,J72,I73)</f>
        <v>-6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3D2FB-87FE-D248-A111-87194D322EA7}">
  <dimension ref="A1:V73"/>
  <sheetViews>
    <sheetView zoomScaleNormal="100" workbookViewId="0">
      <selection activeCell="S12" sqref="S12"/>
    </sheetView>
  </sheetViews>
  <sheetFormatPr baseColWidth="10" defaultRowHeight="16" x14ac:dyDescent="0.2"/>
  <sheetData>
    <row r="1" spans="1:22" x14ac:dyDescent="0.2">
      <c r="A1" t="s">
        <v>15</v>
      </c>
      <c r="B1" s="1" t="s">
        <v>2</v>
      </c>
      <c r="C1" s="1"/>
      <c r="D1" s="1" t="s">
        <v>1</v>
      </c>
      <c r="E1" s="1"/>
      <c r="F1" s="1" t="s">
        <v>0</v>
      </c>
      <c r="G1" s="1"/>
      <c r="H1" s="1" t="s">
        <v>3</v>
      </c>
      <c r="I1" s="1"/>
      <c r="J1" s="1" t="s">
        <v>4</v>
      </c>
      <c r="K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">
      <c r="B2" s="3" t="s">
        <v>8</v>
      </c>
      <c r="C2" s="3">
        <v>249</v>
      </c>
      <c r="D2" s="3" t="s">
        <v>6</v>
      </c>
      <c r="E2" s="3">
        <v>249</v>
      </c>
      <c r="F2" s="3" t="s">
        <v>5</v>
      </c>
      <c r="G2" s="3">
        <v>400</v>
      </c>
      <c r="H2" s="3" t="s">
        <v>11</v>
      </c>
      <c r="I2" s="3">
        <v>400</v>
      </c>
      <c r="J2" t="s">
        <v>11</v>
      </c>
      <c r="K2" s="3">
        <v>400</v>
      </c>
      <c r="M2" s="3"/>
      <c r="N2" s="3"/>
      <c r="O2" s="3"/>
      <c r="P2" s="3"/>
      <c r="Q2" s="3"/>
      <c r="R2" s="3"/>
      <c r="S2" s="3"/>
      <c r="T2" s="3"/>
      <c r="V2" s="3"/>
    </row>
    <row r="3" spans="1:22" x14ac:dyDescent="0.2">
      <c r="B3" s="3"/>
      <c r="C3" s="3"/>
      <c r="D3" s="3"/>
      <c r="E3" s="3"/>
      <c r="F3" s="3"/>
      <c r="G3" t="s">
        <v>17</v>
      </c>
      <c r="H3" s="3"/>
      <c r="I3" t="s">
        <v>17</v>
      </c>
      <c r="J3" t="s">
        <v>12</v>
      </c>
      <c r="K3">
        <v>418</v>
      </c>
      <c r="M3" s="3"/>
      <c r="N3" s="3"/>
      <c r="O3" s="3"/>
      <c r="P3" s="3"/>
      <c r="Q3" s="3"/>
      <c r="R3" s="3"/>
      <c r="S3" s="3"/>
      <c r="T3" s="3"/>
    </row>
    <row r="4" spans="1:22" x14ac:dyDescent="0.2">
      <c r="B4" s="3"/>
      <c r="C4" s="3"/>
      <c r="D4" s="3"/>
      <c r="E4" s="3"/>
      <c r="F4" s="3"/>
      <c r="G4" t="s">
        <v>17</v>
      </c>
      <c r="H4" s="3" t="s">
        <v>12</v>
      </c>
      <c r="I4">
        <v>419</v>
      </c>
      <c r="J4" t="s">
        <v>11</v>
      </c>
      <c r="K4">
        <v>419</v>
      </c>
      <c r="M4" s="3"/>
      <c r="N4" s="3"/>
      <c r="O4" s="3"/>
      <c r="P4" s="3"/>
      <c r="Q4" s="3"/>
      <c r="R4" s="3"/>
      <c r="S4" s="3"/>
      <c r="T4" s="3"/>
    </row>
    <row r="5" spans="1:22" x14ac:dyDescent="0.2">
      <c r="B5" s="3"/>
      <c r="C5" s="3"/>
      <c r="D5" s="3"/>
      <c r="E5" s="3"/>
      <c r="F5" s="3"/>
      <c r="G5" t="s">
        <v>17</v>
      </c>
      <c r="H5" s="3"/>
      <c r="I5" t="s">
        <v>17</v>
      </c>
      <c r="J5" t="s">
        <v>12</v>
      </c>
      <c r="K5">
        <v>438</v>
      </c>
      <c r="M5" s="3"/>
      <c r="N5" s="3"/>
      <c r="O5" s="3"/>
      <c r="P5" s="3"/>
      <c r="Q5" s="3"/>
      <c r="R5" s="3"/>
      <c r="S5" s="3"/>
      <c r="T5" s="3"/>
    </row>
    <row r="6" spans="1:22" x14ac:dyDescent="0.2">
      <c r="B6" s="3"/>
      <c r="C6" s="3"/>
      <c r="D6" s="3"/>
      <c r="E6" s="3"/>
      <c r="F6" s="3" t="s">
        <v>13</v>
      </c>
      <c r="G6">
        <v>249</v>
      </c>
      <c r="H6" s="3" t="s">
        <v>11</v>
      </c>
      <c r="I6">
        <v>249</v>
      </c>
      <c r="J6" t="s">
        <v>11</v>
      </c>
      <c r="K6">
        <v>249</v>
      </c>
      <c r="M6" s="3"/>
      <c r="N6" s="3"/>
      <c r="O6" s="3"/>
      <c r="P6" s="3"/>
      <c r="Q6" s="3"/>
      <c r="R6" s="3"/>
      <c r="S6" s="3"/>
      <c r="T6" s="3"/>
    </row>
    <row r="7" spans="1:22" x14ac:dyDescent="0.2">
      <c r="B7" s="3"/>
      <c r="C7" s="3"/>
      <c r="D7" s="3"/>
      <c r="E7" s="3"/>
      <c r="F7" s="3"/>
      <c r="G7" t="s">
        <v>17</v>
      </c>
      <c r="H7" s="3"/>
      <c r="I7" t="s">
        <v>17</v>
      </c>
      <c r="J7" t="s">
        <v>12</v>
      </c>
      <c r="K7">
        <v>260</v>
      </c>
      <c r="M7" s="3"/>
      <c r="N7" s="3"/>
      <c r="O7" s="3"/>
      <c r="P7" s="3"/>
      <c r="Q7" s="3"/>
      <c r="R7" s="3"/>
      <c r="S7" s="3"/>
      <c r="T7" s="3"/>
    </row>
    <row r="8" spans="1:22" x14ac:dyDescent="0.2">
      <c r="B8" s="3"/>
      <c r="C8" s="3"/>
      <c r="D8" s="3"/>
      <c r="E8" s="3"/>
      <c r="F8" s="3"/>
      <c r="G8" t="s">
        <v>17</v>
      </c>
      <c r="H8" s="3" t="s">
        <v>12</v>
      </c>
      <c r="I8">
        <v>261</v>
      </c>
      <c r="J8" t="s">
        <v>11</v>
      </c>
      <c r="K8">
        <v>261</v>
      </c>
      <c r="M8" s="3"/>
      <c r="N8" s="3"/>
      <c r="O8" s="3"/>
      <c r="P8" s="3"/>
      <c r="Q8" s="3"/>
      <c r="R8" s="3"/>
      <c r="S8" s="3"/>
      <c r="T8" s="3"/>
    </row>
    <row r="9" spans="1:22" x14ac:dyDescent="0.2">
      <c r="B9" s="3"/>
      <c r="C9" s="3"/>
      <c r="D9" s="3"/>
      <c r="E9" s="3"/>
      <c r="F9" s="3"/>
      <c r="G9" t="s">
        <v>17</v>
      </c>
      <c r="H9" s="3"/>
      <c r="I9" t="s">
        <v>17</v>
      </c>
      <c r="J9" t="s">
        <v>12</v>
      </c>
      <c r="K9">
        <v>273</v>
      </c>
      <c r="M9" s="3"/>
      <c r="N9" s="3"/>
      <c r="O9" s="3"/>
      <c r="P9" s="3"/>
      <c r="Q9" s="3"/>
      <c r="R9" s="3"/>
      <c r="S9" s="3"/>
      <c r="T9" s="3"/>
    </row>
    <row r="10" spans="1:22" x14ac:dyDescent="0.2">
      <c r="B10" s="3"/>
      <c r="C10" s="3"/>
      <c r="D10" s="3"/>
      <c r="E10" s="3"/>
      <c r="F10" s="3" t="s">
        <v>14</v>
      </c>
      <c r="G10">
        <v>241</v>
      </c>
      <c r="H10" s="3" t="s">
        <v>11</v>
      </c>
      <c r="I10">
        <v>241</v>
      </c>
      <c r="J10" t="s">
        <v>11</v>
      </c>
      <c r="K10">
        <v>241</v>
      </c>
      <c r="M10" s="3"/>
      <c r="N10" s="3"/>
      <c r="O10" s="3"/>
      <c r="P10" s="3"/>
      <c r="Q10" s="3"/>
      <c r="R10" s="3"/>
      <c r="S10" s="3"/>
      <c r="T10" s="3"/>
    </row>
    <row r="11" spans="1:22" x14ac:dyDescent="0.2">
      <c r="B11" s="3"/>
      <c r="C11" s="3"/>
      <c r="D11" s="3"/>
      <c r="E11" s="3"/>
      <c r="F11" s="3"/>
      <c r="G11" t="s">
        <v>17</v>
      </c>
      <c r="H11" s="3"/>
      <c r="I11" t="s">
        <v>17</v>
      </c>
      <c r="J11" t="s">
        <v>12</v>
      </c>
      <c r="K11">
        <v>252</v>
      </c>
      <c r="M11" s="3"/>
      <c r="N11" s="3"/>
      <c r="O11" s="3"/>
      <c r="P11" s="3"/>
      <c r="Q11" s="3"/>
      <c r="R11" s="3"/>
      <c r="S11" s="3"/>
      <c r="T11" s="3"/>
    </row>
    <row r="12" spans="1:22" x14ac:dyDescent="0.2">
      <c r="B12" s="3"/>
      <c r="C12" s="3"/>
      <c r="D12" s="3"/>
      <c r="E12" s="3"/>
      <c r="F12" s="3"/>
      <c r="G12" t="s">
        <v>17</v>
      </c>
      <c r="H12" s="3" t="s">
        <v>12</v>
      </c>
      <c r="I12">
        <v>253</v>
      </c>
      <c r="J12" t="s">
        <v>11</v>
      </c>
      <c r="K12">
        <v>253</v>
      </c>
      <c r="M12" s="3"/>
      <c r="N12" s="3"/>
      <c r="O12" s="3"/>
      <c r="P12" s="3"/>
      <c r="Q12" s="3"/>
      <c r="R12" s="3"/>
      <c r="S12" s="3"/>
      <c r="T12" s="3"/>
    </row>
    <row r="13" spans="1:22" x14ac:dyDescent="0.2">
      <c r="B13" s="3"/>
      <c r="C13" s="3"/>
      <c r="D13" s="3"/>
      <c r="E13" s="3"/>
      <c r="F13" s="3"/>
      <c r="G13" t="s">
        <v>17</v>
      </c>
      <c r="H13" s="3"/>
      <c r="I13" t="s">
        <v>17</v>
      </c>
      <c r="J13" t="s">
        <v>12</v>
      </c>
      <c r="K13">
        <v>265</v>
      </c>
      <c r="M13" s="3"/>
      <c r="N13" s="3"/>
      <c r="O13" s="3"/>
      <c r="P13" s="3"/>
      <c r="Q13" s="3"/>
      <c r="R13" s="3"/>
      <c r="S13" s="3"/>
      <c r="T13" s="3"/>
    </row>
    <row r="14" spans="1:22" x14ac:dyDescent="0.2">
      <c r="B14" s="3"/>
      <c r="C14" s="3"/>
      <c r="D14" s="3" t="s">
        <v>7</v>
      </c>
      <c r="E14" s="3">
        <v>219</v>
      </c>
      <c r="F14" s="3" t="s">
        <v>5</v>
      </c>
      <c r="G14">
        <v>399</v>
      </c>
      <c r="H14" s="3" t="s">
        <v>11</v>
      </c>
      <c r="I14">
        <v>399</v>
      </c>
      <c r="J14" t="s">
        <v>11</v>
      </c>
      <c r="K14">
        <v>399</v>
      </c>
      <c r="M14" s="3"/>
      <c r="N14" s="3"/>
      <c r="O14" s="3"/>
      <c r="P14" s="3"/>
      <c r="Q14" s="3"/>
      <c r="R14" s="3"/>
      <c r="S14" s="3"/>
      <c r="T14" s="3"/>
    </row>
    <row r="15" spans="1:22" x14ac:dyDescent="0.2">
      <c r="B15" s="3"/>
      <c r="C15" s="3"/>
      <c r="D15" s="3"/>
      <c r="E15" s="3"/>
      <c r="F15" s="3"/>
      <c r="G15" t="s">
        <v>17</v>
      </c>
      <c r="H15" s="3"/>
      <c r="I15" t="s">
        <v>17</v>
      </c>
      <c r="J15" t="s">
        <v>12</v>
      </c>
      <c r="K15">
        <v>417</v>
      </c>
      <c r="M15" s="3"/>
      <c r="N15" s="3"/>
      <c r="O15" s="3"/>
      <c r="P15" s="3"/>
      <c r="Q15" s="3"/>
      <c r="R15" s="3"/>
      <c r="S15" s="3"/>
      <c r="T15" s="3"/>
    </row>
    <row r="16" spans="1:22" x14ac:dyDescent="0.2">
      <c r="B16" s="3"/>
      <c r="C16" s="3"/>
      <c r="D16" s="3"/>
      <c r="E16" s="3"/>
      <c r="F16" s="3"/>
      <c r="G16" t="s">
        <v>17</v>
      </c>
      <c r="H16" s="3" t="s">
        <v>12</v>
      </c>
      <c r="I16">
        <v>418</v>
      </c>
      <c r="J16" t="s">
        <v>11</v>
      </c>
      <c r="K16">
        <v>418</v>
      </c>
      <c r="M16" s="3"/>
      <c r="N16" s="3"/>
      <c r="O16" s="3"/>
      <c r="P16" s="3"/>
      <c r="Q16" s="3"/>
      <c r="R16" s="3"/>
      <c r="S16" s="3"/>
      <c r="T16" s="3"/>
    </row>
    <row r="17" spans="2:20" x14ac:dyDescent="0.2">
      <c r="B17" s="3"/>
      <c r="C17" s="3"/>
      <c r="D17" s="3"/>
      <c r="E17" s="3"/>
      <c r="F17" s="3"/>
      <c r="G17" t="s">
        <v>17</v>
      </c>
      <c r="H17" s="3"/>
      <c r="I17" t="s">
        <v>17</v>
      </c>
      <c r="J17" t="s">
        <v>12</v>
      </c>
      <c r="K17">
        <v>437</v>
      </c>
      <c r="M17" s="3"/>
      <c r="N17" s="3"/>
      <c r="O17" s="3"/>
      <c r="P17" s="3"/>
      <c r="Q17" s="3"/>
      <c r="R17" s="3"/>
      <c r="S17" s="3"/>
      <c r="T17" s="3"/>
    </row>
    <row r="18" spans="2:20" x14ac:dyDescent="0.2">
      <c r="B18" s="3"/>
      <c r="C18" s="3"/>
      <c r="D18" s="3"/>
      <c r="E18" s="3"/>
      <c r="F18" s="3" t="s">
        <v>13</v>
      </c>
      <c r="G18">
        <v>219</v>
      </c>
      <c r="H18" s="3" t="s">
        <v>11</v>
      </c>
      <c r="I18">
        <v>219</v>
      </c>
      <c r="J18" t="s">
        <v>11</v>
      </c>
      <c r="K18">
        <v>219</v>
      </c>
      <c r="M18" s="3"/>
      <c r="N18" s="3"/>
      <c r="O18" s="3"/>
      <c r="P18" s="3"/>
      <c r="Q18" s="3"/>
      <c r="R18" s="3"/>
      <c r="S18" s="3"/>
      <c r="T18" s="3"/>
    </row>
    <row r="19" spans="2:20" x14ac:dyDescent="0.2">
      <c r="B19" s="3"/>
      <c r="C19" s="3"/>
      <c r="D19" s="3"/>
      <c r="E19" s="3"/>
      <c r="F19" s="3"/>
      <c r="G19" t="s">
        <v>17</v>
      </c>
      <c r="H19" s="3"/>
      <c r="I19" t="s">
        <v>17</v>
      </c>
      <c r="J19" t="s">
        <v>12</v>
      </c>
      <c r="K19">
        <v>229</v>
      </c>
      <c r="M19" s="3"/>
      <c r="N19" s="3"/>
      <c r="O19" s="3"/>
      <c r="P19" s="3"/>
      <c r="Q19" s="3"/>
      <c r="R19" s="3"/>
      <c r="S19" s="3"/>
      <c r="T19" s="3"/>
    </row>
    <row r="20" spans="2:20" x14ac:dyDescent="0.2">
      <c r="B20" s="3"/>
      <c r="C20" s="3"/>
      <c r="D20" s="3"/>
      <c r="E20" s="3"/>
      <c r="F20" s="3"/>
      <c r="G20" t="s">
        <v>17</v>
      </c>
      <c r="H20" s="3" t="s">
        <v>12</v>
      </c>
      <c r="I20">
        <v>230</v>
      </c>
      <c r="J20" t="s">
        <v>11</v>
      </c>
      <c r="K20">
        <v>230</v>
      </c>
      <c r="M20" s="3"/>
      <c r="N20" s="3"/>
      <c r="O20" s="3"/>
      <c r="P20" s="3"/>
      <c r="Q20" s="3"/>
      <c r="R20" s="3"/>
      <c r="S20" s="3"/>
      <c r="T20" s="3"/>
    </row>
    <row r="21" spans="2:20" x14ac:dyDescent="0.2">
      <c r="B21" s="3"/>
      <c r="C21" s="3"/>
      <c r="D21" s="3"/>
      <c r="E21" s="3"/>
      <c r="F21" s="3"/>
      <c r="G21" t="s">
        <v>17</v>
      </c>
      <c r="H21" s="3"/>
      <c r="I21" t="s">
        <v>17</v>
      </c>
      <c r="J21" t="s">
        <v>12</v>
      </c>
      <c r="K21">
        <v>240</v>
      </c>
      <c r="M21" s="3"/>
      <c r="N21" s="3"/>
      <c r="O21" s="3"/>
      <c r="P21" s="3"/>
      <c r="Q21" s="3"/>
      <c r="R21" s="3"/>
      <c r="S21" s="3"/>
      <c r="T21" s="3"/>
    </row>
    <row r="22" spans="2:20" x14ac:dyDescent="0.2">
      <c r="B22" s="3"/>
      <c r="C22" s="3"/>
      <c r="D22" s="3"/>
      <c r="E22" s="3"/>
      <c r="F22" s="3" t="s">
        <v>14</v>
      </c>
      <c r="G22">
        <v>227</v>
      </c>
      <c r="H22" s="3" t="s">
        <v>11</v>
      </c>
      <c r="I22">
        <v>227</v>
      </c>
      <c r="J22" t="s">
        <v>11</v>
      </c>
      <c r="K22">
        <v>227</v>
      </c>
      <c r="M22" s="3"/>
      <c r="N22" s="3"/>
      <c r="O22" s="3"/>
      <c r="P22" s="3"/>
      <c r="Q22" s="3"/>
      <c r="R22" s="3"/>
      <c r="S22" s="3"/>
      <c r="T22" s="3"/>
    </row>
    <row r="23" spans="2:20" x14ac:dyDescent="0.2">
      <c r="B23" s="3"/>
      <c r="C23" s="3"/>
      <c r="D23" s="3"/>
      <c r="E23" s="3"/>
      <c r="F23" s="3"/>
      <c r="G23" t="s">
        <v>17</v>
      </c>
      <c r="H23" s="3"/>
      <c r="I23" t="s">
        <v>17</v>
      </c>
      <c r="J23" t="s">
        <v>12</v>
      </c>
      <c r="K23">
        <v>238</v>
      </c>
      <c r="M23" s="3"/>
      <c r="N23" s="3"/>
      <c r="O23" s="3"/>
      <c r="P23" s="3"/>
      <c r="Q23" s="3"/>
      <c r="R23" s="3"/>
      <c r="S23" s="3"/>
      <c r="T23" s="3"/>
    </row>
    <row r="24" spans="2:20" x14ac:dyDescent="0.2">
      <c r="B24" s="3"/>
      <c r="C24" s="3"/>
      <c r="D24" s="3"/>
      <c r="E24" s="3"/>
      <c r="F24" s="3"/>
      <c r="G24" t="s">
        <v>17</v>
      </c>
      <c r="H24" s="3" t="s">
        <v>12</v>
      </c>
      <c r="I24">
        <v>238</v>
      </c>
      <c r="J24" t="s">
        <v>11</v>
      </c>
      <c r="K24">
        <v>238</v>
      </c>
      <c r="M24" s="3"/>
      <c r="N24" s="3"/>
      <c r="O24" s="3"/>
      <c r="P24" s="3"/>
      <c r="Q24" s="3"/>
      <c r="R24" s="3"/>
      <c r="S24" s="3"/>
      <c r="T24" s="3"/>
    </row>
    <row r="25" spans="2:20" x14ac:dyDescent="0.2">
      <c r="B25" s="3"/>
      <c r="C25" s="3"/>
      <c r="D25" s="3"/>
      <c r="E25" s="3"/>
      <c r="F25" s="3"/>
      <c r="G25" t="s">
        <v>17</v>
      </c>
      <c r="H25" s="3"/>
      <c r="I25" t="s">
        <v>17</v>
      </c>
      <c r="J25" t="s">
        <v>12</v>
      </c>
      <c r="K25">
        <v>249</v>
      </c>
      <c r="M25" s="3"/>
      <c r="N25" s="3"/>
      <c r="O25" s="3"/>
      <c r="P25" s="3"/>
      <c r="Q25" s="3"/>
      <c r="R25" s="3"/>
      <c r="S25" s="3"/>
      <c r="T25" s="3"/>
    </row>
    <row r="26" spans="2:20" x14ac:dyDescent="0.2">
      <c r="B26" s="3" t="s">
        <v>9</v>
      </c>
      <c r="C26" s="3">
        <v>241</v>
      </c>
      <c r="D26" s="3" t="s">
        <v>6</v>
      </c>
      <c r="E26">
        <v>241</v>
      </c>
      <c r="F26" s="3" t="s">
        <v>5</v>
      </c>
      <c r="G26">
        <v>387</v>
      </c>
      <c r="H26" s="3" t="s">
        <v>11</v>
      </c>
      <c r="I26">
        <v>387</v>
      </c>
      <c r="J26" t="s">
        <v>11</v>
      </c>
      <c r="K26">
        <v>387</v>
      </c>
      <c r="M26" s="3"/>
      <c r="N26" s="3"/>
      <c r="O26" s="3"/>
      <c r="Q26" s="3"/>
      <c r="R26" s="3"/>
      <c r="S26" s="3"/>
      <c r="T26" s="3"/>
    </row>
    <row r="27" spans="2:20" x14ac:dyDescent="0.2">
      <c r="B27" s="3"/>
      <c r="C27" s="3"/>
      <c r="D27" s="3"/>
      <c r="E27" s="3"/>
      <c r="F27" s="3"/>
      <c r="G27" t="s">
        <v>17</v>
      </c>
      <c r="H27" s="3"/>
      <c r="I27" t="s">
        <v>17</v>
      </c>
      <c r="J27" t="s">
        <v>12</v>
      </c>
      <c r="K27">
        <v>404</v>
      </c>
      <c r="M27" s="3"/>
      <c r="N27" s="3"/>
      <c r="O27" s="3"/>
      <c r="P27" s="3"/>
      <c r="Q27" s="3"/>
      <c r="R27" s="3"/>
      <c r="S27" s="3"/>
      <c r="T27" s="3"/>
    </row>
    <row r="28" spans="2:20" x14ac:dyDescent="0.2">
      <c r="B28" s="3"/>
      <c r="C28" s="3"/>
      <c r="D28" s="3"/>
      <c r="E28" s="3"/>
      <c r="F28" s="3"/>
      <c r="G28" t="s">
        <v>17</v>
      </c>
      <c r="H28" s="3" t="s">
        <v>12</v>
      </c>
      <c r="I28">
        <v>405</v>
      </c>
      <c r="J28" t="s">
        <v>11</v>
      </c>
      <c r="K28">
        <v>405</v>
      </c>
      <c r="M28" s="3"/>
      <c r="N28" s="3"/>
      <c r="O28" s="3"/>
      <c r="P28" s="3"/>
      <c r="Q28" s="3"/>
      <c r="R28" s="3"/>
      <c r="S28" s="3"/>
      <c r="T28" s="3"/>
    </row>
    <row r="29" spans="2:20" x14ac:dyDescent="0.2">
      <c r="B29" s="3"/>
      <c r="C29" s="3"/>
      <c r="D29" s="3"/>
      <c r="E29" s="3"/>
      <c r="F29" s="3"/>
      <c r="G29" t="s">
        <v>17</v>
      </c>
      <c r="H29" s="3"/>
      <c r="I29" t="s">
        <v>17</v>
      </c>
      <c r="J29" t="s">
        <v>12</v>
      </c>
      <c r="K29">
        <v>423</v>
      </c>
      <c r="M29" s="3"/>
      <c r="N29" s="3"/>
      <c r="O29" s="3"/>
      <c r="P29" s="3"/>
      <c r="Q29" s="3"/>
      <c r="R29" s="3"/>
      <c r="S29" s="3"/>
      <c r="T29" s="3"/>
    </row>
    <row r="30" spans="2:20" x14ac:dyDescent="0.2">
      <c r="B30" s="3"/>
      <c r="C30" s="3"/>
      <c r="D30" s="3"/>
      <c r="E30" s="3"/>
      <c r="F30" s="3" t="s">
        <v>13</v>
      </c>
      <c r="G30">
        <v>241</v>
      </c>
      <c r="H30" s="3" t="s">
        <v>11</v>
      </c>
      <c r="I30">
        <v>241</v>
      </c>
      <c r="J30" t="s">
        <v>11</v>
      </c>
      <c r="K30">
        <v>241</v>
      </c>
      <c r="M30" s="3"/>
      <c r="N30" s="3"/>
      <c r="O30" s="3"/>
      <c r="P30" s="3"/>
      <c r="Q30" s="3"/>
      <c r="R30" s="3"/>
      <c r="S30" s="3"/>
      <c r="T30" s="3"/>
    </row>
    <row r="31" spans="2:20" x14ac:dyDescent="0.2">
      <c r="B31" s="3"/>
      <c r="C31" s="3"/>
      <c r="D31" s="3"/>
      <c r="E31" s="3"/>
      <c r="F31" s="3"/>
      <c r="G31" t="s">
        <v>17</v>
      </c>
      <c r="H31" s="3"/>
      <c r="I31" t="s">
        <v>17</v>
      </c>
      <c r="J31" t="s">
        <v>12</v>
      </c>
      <c r="K31">
        <v>252</v>
      </c>
      <c r="M31" s="3"/>
      <c r="N31" s="3"/>
      <c r="O31" s="3"/>
      <c r="P31" s="3"/>
      <c r="Q31" s="3"/>
      <c r="R31" s="3"/>
      <c r="S31" s="3"/>
      <c r="T31" s="3"/>
    </row>
    <row r="32" spans="2:20" x14ac:dyDescent="0.2">
      <c r="B32" s="3"/>
      <c r="C32" s="3"/>
      <c r="D32" s="3"/>
      <c r="E32" s="3"/>
      <c r="F32" s="3"/>
      <c r="G32" t="s">
        <v>17</v>
      </c>
      <c r="H32" s="3" t="s">
        <v>12</v>
      </c>
      <c r="I32">
        <v>252</v>
      </c>
      <c r="J32" t="s">
        <v>11</v>
      </c>
      <c r="K32">
        <v>252</v>
      </c>
      <c r="M32" s="3"/>
      <c r="N32" s="3"/>
      <c r="O32" s="3"/>
      <c r="P32" s="3"/>
      <c r="Q32" s="3"/>
      <c r="R32" s="3"/>
      <c r="S32" s="3"/>
      <c r="T32" s="3"/>
    </row>
    <row r="33" spans="2:20" x14ac:dyDescent="0.2">
      <c r="B33" s="3"/>
      <c r="C33" s="3"/>
      <c r="D33" s="3"/>
      <c r="E33" s="3"/>
      <c r="F33" s="3"/>
      <c r="G33" t="s">
        <v>17</v>
      </c>
      <c r="H33" s="3"/>
      <c r="I33" t="s">
        <v>17</v>
      </c>
      <c r="J33" t="s">
        <v>12</v>
      </c>
      <c r="K33">
        <v>264</v>
      </c>
      <c r="M33" s="3"/>
      <c r="N33" s="3"/>
      <c r="O33" s="3"/>
      <c r="P33" s="3"/>
      <c r="Q33" s="3"/>
      <c r="R33" s="3"/>
      <c r="S33" s="3"/>
      <c r="T33" s="3"/>
    </row>
    <row r="34" spans="2:20" x14ac:dyDescent="0.2">
      <c r="B34" s="3"/>
      <c r="C34" s="3"/>
      <c r="D34" s="3"/>
      <c r="E34" s="3"/>
      <c r="F34" s="3" t="s">
        <v>14</v>
      </c>
      <c r="G34">
        <v>233</v>
      </c>
      <c r="H34" s="3" t="s">
        <v>11</v>
      </c>
      <c r="I34">
        <v>233</v>
      </c>
      <c r="J34" t="s">
        <v>11</v>
      </c>
      <c r="K34">
        <v>233</v>
      </c>
      <c r="M34" s="3"/>
      <c r="N34" s="3"/>
      <c r="O34" s="3"/>
      <c r="P34" s="3"/>
      <c r="Q34" s="3"/>
      <c r="R34" s="3"/>
      <c r="S34" s="3"/>
      <c r="T34" s="3"/>
    </row>
    <row r="35" spans="2:20" x14ac:dyDescent="0.2">
      <c r="B35" s="3"/>
      <c r="C35" s="3"/>
      <c r="D35" s="3"/>
      <c r="E35" s="3"/>
      <c r="F35" s="3"/>
      <c r="G35" t="s">
        <v>17</v>
      </c>
      <c r="H35" s="3"/>
      <c r="I35" t="s">
        <v>17</v>
      </c>
      <c r="J35" t="s">
        <v>12</v>
      </c>
      <c r="K35">
        <v>244</v>
      </c>
      <c r="M35" s="3"/>
      <c r="N35" s="3"/>
      <c r="O35" s="3"/>
      <c r="P35" s="3"/>
      <c r="Q35" s="3"/>
      <c r="R35" s="3"/>
      <c r="S35" s="3"/>
      <c r="T35" s="3"/>
    </row>
    <row r="36" spans="2:20" x14ac:dyDescent="0.2">
      <c r="B36" s="3"/>
      <c r="C36" s="3"/>
      <c r="D36" s="3"/>
      <c r="E36" s="3"/>
      <c r="F36" s="3"/>
      <c r="G36" t="s">
        <v>17</v>
      </c>
      <c r="H36" s="3" t="s">
        <v>12</v>
      </c>
      <c r="I36">
        <v>244</v>
      </c>
      <c r="J36" t="s">
        <v>11</v>
      </c>
      <c r="K36">
        <v>244</v>
      </c>
      <c r="M36" s="3"/>
      <c r="N36" s="3"/>
      <c r="O36" s="3"/>
      <c r="P36" s="3"/>
      <c r="Q36" s="3"/>
      <c r="R36" s="3"/>
      <c r="S36" s="3"/>
      <c r="T36" s="3"/>
    </row>
    <row r="37" spans="2:20" x14ac:dyDescent="0.2">
      <c r="B37" s="3"/>
      <c r="C37" s="3"/>
      <c r="D37" s="3"/>
      <c r="E37" s="3"/>
      <c r="F37" s="3"/>
      <c r="G37" t="s">
        <v>17</v>
      </c>
      <c r="H37" s="3"/>
      <c r="I37" t="s">
        <v>17</v>
      </c>
      <c r="J37" t="s">
        <v>12</v>
      </c>
      <c r="K37">
        <v>256</v>
      </c>
      <c r="M37" s="3"/>
      <c r="N37" s="3"/>
      <c r="O37" s="3"/>
      <c r="P37" s="3"/>
      <c r="Q37" s="3"/>
      <c r="R37" s="3"/>
      <c r="S37" s="3"/>
      <c r="T37" s="3"/>
    </row>
    <row r="38" spans="2:20" x14ac:dyDescent="0.2">
      <c r="B38" s="3"/>
      <c r="C38" s="3"/>
      <c r="D38" s="3" t="s">
        <v>7</v>
      </c>
      <c r="E38" s="3">
        <v>212</v>
      </c>
      <c r="F38" s="3" t="s">
        <v>5</v>
      </c>
      <c r="G38">
        <v>385</v>
      </c>
      <c r="H38" s="3" t="s">
        <v>11</v>
      </c>
      <c r="I38">
        <v>385</v>
      </c>
      <c r="J38" t="s">
        <v>11</v>
      </c>
      <c r="K38">
        <v>385</v>
      </c>
      <c r="M38" s="3"/>
      <c r="N38" s="3"/>
      <c r="O38" s="3"/>
      <c r="P38" s="3"/>
      <c r="Q38" s="3"/>
      <c r="R38" s="3"/>
      <c r="S38" s="3"/>
      <c r="T38" s="3"/>
    </row>
    <row r="39" spans="2:20" x14ac:dyDescent="0.2">
      <c r="B39" s="3"/>
      <c r="C39" s="3"/>
      <c r="D39" s="3"/>
      <c r="E39" s="3"/>
      <c r="F39" s="3"/>
      <c r="G39" t="s">
        <v>17</v>
      </c>
      <c r="H39" s="3"/>
      <c r="I39" t="s">
        <v>17</v>
      </c>
      <c r="J39" t="s">
        <v>12</v>
      </c>
      <c r="K39">
        <v>403</v>
      </c>
      <c r="M39" s="3"/>
      <c r="N39" s="3"/>
      <c r="O39" s="3"/>
      <c r="P39" s="3"/>
      <c r="Q39" s="3"/>
      <c r="R39" s="3"/>
      <c r="S39" s="3"/>
      <c r="T39" s="3"/>
    </row>
    <row r="40" spans="2:20" x14ac:dyDescent="0.2">
      <c r="B40" s="3"/>
      <c r="C40" s="3"/>
      <c r="D40" s="3"/>
      <c r="E40" s="3"/>
      <c r="F40" s="3"/>
      <c r="G40" t="s">
        <v>17</v>
      </c>
      <c r="H40" s="3" t="s">
        <v>12</v>
      </c>
      <c r="I40">
        <v>404</v>
      </c>
      <c r="J40" t="s">
        <v>11</v>
      </c>
      <c r="K40">
        <v>404</v>
      </c>
      <c r="M40" s="3"/>
      <c r="N40" s="3"/>
      <c r="O40" s="3"/>
      <c r="P40" s="3"/>
      <c r="Q40" s="3"/>
      <c r="R40" s="3"/>
      <c r="S40" s="3"/>
      <c r="T40" s="3"/>
    </row>
    <row r="41" spans="2:20" x14ac:dyDescent="0.2">
      <c r="B41" s="3"/>
      <c r="C41" s="3"/>
      <c r="D41" s="3"/>
      <c r="E41" s="3"/>
      <c r="F41" s="3"/>
      <c r="G41" t="s">
        <v>17</v>
      </c>
      <c r="H41" s="3"/>
      <c r="I41" t="s">
        <v>17</v>
      </c>
      <c r="J41" t="s">
        <v>12</v>
      </c>
      <c r="K41">
        <v>422</v>
      </c>
      <c r="M41" s="3"/>
      <c r="N41" s="3"/>
      <c r="O41" s="3"/>
      <c r="P41" s="3"/>
      <c r="Q41" s="3"/>
      <c r="R41" s="3"/>
      <c r="S41" s="3"/>
      <c r="T41" s="3"/>
    </row>
    <row r="42" spans="2:20" x14ac:dyDescent="0.2">
      <c r="B42" s="3"/>
      <c r="C42" s="3"/>
      <c r="D42" s="3"/>
      <c r="E42" s="3"/>
      <c r="F42" s="3" t="s">
        <v>13</v>
      </c>
      <c r="G42">
        <v>212</v>
      </c>
      <c r="H42" s="3" t="s">
        <v>11</v>
      </c>
      <c r="I42">
        <v>212</v>
      </c>
      <c r="J42" t="s">
        <v>11</v>
      </c>
      <c r="K42">
        <v>212</v>
      </c>
      <c r="M42" s="3"/>
      <c r="N42" s="3"/>
      <c r="O42" s="3"/>
      <c r="P42" s="3"/>
      <c r="Q42" s="3"/>
      <c r="R42" s="3"/>
      <c r="S42" s="3"/>
      <c r="T42" s="3"/>
    </row>
    <row r="43" spans="2:20" x14ac:dyDescent="0.2">
      <c r="B43" s="3"/>
      <c r="C43" s="3"/>
      <c r="D43" s="3"/>
      <c r="E43" s="3"/>
      <c r="F43" s="3"/>
      <c r="G43" t="s">
        <v>17</v>
      </c>
      <c r="H43" s="3"/>
      <c r="I43" t="s">
        <v>17</v>
      </c>
      <c r="J43" t="s">
        <v>12</v>
      </c>
      <c r="K43">
        <v>222</v>
      </c>
      <c r="M43" s="3"/>
      <c r="N43" s="3"/>
      <c r="O43" s="3"/>
      <c r="P43" s="3"/>
      <c r="Q43" s="3"/>
      <c r="R43" s="3"/>
      <c r="S43" s="3"/>
      <c r="T43" s="3"/>
    </row>
    <row r="44" spans="2:20" x14ac:dyDescent="0.2">
      <c r="B44" s="3"/>
      <c r="C44" s="3"/>
      <c r="D44" s="3"/>
      <c r="E44" s="3"/>
      <c r="F44" s="3"/>
      <c r="G44" t="s">
        <v>17</v>
      </c>
      <c r="H44" s="3" t="s">
        <v>12</v>
      </c>
      <c r="I44">
        <v>222</v>
      </c>
      <c r="J44" t="s">
        <v>11</v>
      </c>
      <c r="K44">
        <v>222</v>
      </c>
      <c r="M44" s="3"/>
      <c r="N44" s="3"/>
      <c r="O44" s="3"/>
      <c r="P44" s="3"/>
      <c r="Q44" s="3"/>
      <c r="R44" s="3"/>
      <c r="S44" s="3"/>
      <c r="T44" s="3"/>
    </row>
    <row r="45" spans="2:20" x14ac:dyDescent="0.2">
      <c r="B45" s="3"/>
      <c r="C45" s="3"/>
      <c r="D45" s="3"/>
      <c r="E45" s="3"/>
      <c r="F45" s="3"/>
      <c r="G45" t="s">
        <v>17</v>
      </c>
      <c r="H45" s="3"/>
      <c r="I45" t="s">
        <v>17</v>
      </c>
      <c r="J45" t="s">
        <v>12</v>
      </c>
      <c r="K45">
        <v>232</v>
      </c>
      <c r="M45" s="3"/>
      <c r="N45" s="3"/>
      <c r="O45" s="3"/>
      <c r="P45" s="3"/>
      <c r="Q45" s="3"/>
      <c r="R45" s="3"/>
      <c r="S45" s="3"/>
      <c r="T45" s="3"/>
    </row>
    <row r="46" spans="2:20" x14ac:dyDescent="0.2">
      <c r="B46" s="3"/>
      <c r="C46" s="3"/>
      <c r="D46" s="3"/>
      <c r="E46" s="3"/>
      <c r="F46" s="3" t="s">
        <v>14</v>
      </c>
      <c r="G46">
        <v>220</v>
      </c>
      <c r="H46" s="3" t="s">
        <v>11</v>
      </c>
      <c r="I46">
        <v>220</v>
      </c>
      <c r="J46" t="s">
        <v>11</v>
      </c>
      <c r="K46">
        <v>220</v>
      </c>
      <c r="M46" s="3"/>
      <c r="N46" s="3"/>
      <c r="O46" s="3"/>
      <c r="P46" s="3"/>
      <c r="Q46" s="3"/>
      <c r="R46" s="3"/>
      <c r="S46" s="3"/>
      <c r="T46" s="3"/>
    </row>
    <row r="47" spans="2:20" x14ac:dyDescent="0.2">
      <c r="B47" s="3"/>
      <c r="C47" s="3"/>
      <c r="D47" s="3"/>
      <c r="E47" s="3"/>
      <c r="F47" s="3"/>
      <c r="G47" t="s">
        <v>17</v>
      </c>
      <c r="H47" s="3"/>
      <c r="I47" t="s">
        <v>17</v>
      </c>
      <c r="J47" t="s">
        <v>12</v>
      </c>
      <c r="K47">
        <v>230</v>
      </c>
      <c r="M47" s="3"/>
      <c r="N47" s="3"/>
      <c r="O47" s="3"/>
      <c r="P47" s="3"/>
      <c r="Q47" s="3"/>
      <c r="R47" s="3"/>
      <c r="S47" s="3"/>
      <c r="T47" s="3"/>
    </row>
    <row r="48" spans="2:20" x14ac:dyDescent="0.2">
      <c r="B48" s="3"/>
      <c r="C48" s="3"/>
      <c r="D48" s="3"/>
      <c r="E48" s="3"/>
      <c r="F48" s="3"/>
      <c r="G48" t="s">
        <v>17</v>
      </c>
      <c r="H48" s="3" t="s">
        <v>12</v>
      </c>
      <c r="I48">
        <v>230</v>
      </c>
      <c r="J48" t="s">
        <v>11</v>
      </c>
      <c r="K48">
        <v>230</v>
      </c>
      <c r="M48" s="3"/>
      <c r="N48" s="3"/>
      <c r="O48" s="3"/>
      <c r="P48" s="3"/>
      <c r="Q48" s="3"/>
      <c r="R48" s="3"/>
      <c r="S48" s="3"/>
      <c r="T48" s="3"/>
    </row>
    <row r="49" spans="2:20" x14ac:dyDescent="0.2">
      <c r="B49" s="3"/>
      <c r="C49" s="3"/>
      <c r="D49" s="3"/>
      <c r="E49" s="3"/>
      <c r="F49" s="3"/>
      <c r="G49" t="s">
        <v>17</v>
      </c>
      <c r="H49" s="3"/>
      <c r="I49" t="s">
        <v>17</v>
      </c>
      <c r="J49" t="s">
        <v>12</v>
      </c>
      <c r="K49">
        <v>241</v>
      </c>
      <c r="M49" s="3"/>
      <c r="N49" s="3"/>
      <c r="O49" s="3"/>
      <c r="P49" s="3"/>
      <c r="Q49" s="3"/>
      <c r="R49" s="3"/>
      <c r="S49" s="3"/>
      <c r="T49" s="3"/>
    </row>
    <row r="50" spans="2:20" x14ac:dyDescent="0.2">
      <c r="B50" s="3" t="s">
        <v>10</v>
      </c>
      <c r="C50" s="3">
        <v>258</v>
      </c>
      <c r="D50" s="3" t="s">
        <v>6</v>
      </c>
      <c r="E50">
        <v>258</v>
      </c>
      <c r="F50" s="3" t="s">
        <v>5</v>
      </c>
      <c r="G50">
        <v>414</v>
      </c>
      <c r="H50" s="3" t="s">
        <v>11</v>
      </c>
      <c r="I50">
        <v>414</v>
      </c>
      <c r="J50" t="s">
        <v>11</v>
      </c>
      <c r="K50">
        <v>414</v>
      </c>
      <c r="M50" s="3"/>
      <c r="N50" s="3"/>
      <c r="O50" s="3"/>
      <c r="Q50" s="3"/>
      <c r="R50" s="3"/>
      <c r="S50" s="3"/>
      <c r="T50" s="3"/>
    </row>
    <row r="51" spans="2:20" x14ac:dyDescent="0.2">
      <c r="B51" s="3"/>
      <c r="C51" s="3"/>
      <c r="D51" s="3"/>
      <c r="E51" s="3"/>
      <c r="F51" s="3"/>
      <c r="G51" t="s">
        <v>17</v>
      </c>
      <c r="H51" s="3"/>
      <c r="I51" t="s">
        <v>17</v>
      </c>
      <c r="J51" t="s">
        <v>12</v>
      </c>
      <c r="K51">
        <v>433</v>
      </c>
      <c r="M51" s="3"/>
      <c r="N51" s="3"/>
      <c r="O51" s="3"/>
      <c r="P51" s="3"/>
      <c r="Q51" s="3"/>
      <c r="R51" s="3"/>
      <c r="S51" s="3"/>
      <c r="T51" s="3"/>
    </row>
    <row r="52" spans="2:20" x14ac:dyDescent="0.2">
      <c r="B52" s="3"/>
      <c r="C52" s="3"/>
      <c r="D52" s="3"/>
      <c r="E52" s="3"/>
      <c r="F52" s="3"/>
      <c r="G52" t="s">
        <v>17</v>
      </c>
      <c r="H52" s="3" t="s">
        <v>12</v>
      </c>
      <c r="I52">
        <v>435</v>
      </c>
      <c r="J52" t="s">
        <v>11</v>
      </c>
      <c r="K52">
        <v>435</v>
      </c>
      <c r="M52" s="3"/>
      <c r="N52" s="3"/>
      <c r="O52" s="3"/>
      <c r="P52" s="3"/>
      <c r="Q52" s="3"/>
      <c r="R52" s="3"/>
      <c r="S52" s="3"/>
      <c r="T52" s="3"/>
    </row>
    <row r="53" spans="2:20" x14ac:dyDescent="0.2">
      <c r="B53" s="3"/>
      <c r="C53" s="3"/>
      <c r="D53" s="3"/>
      <c r="E53" s="3"/>
      <c r="F53" s="3"/>
      <c r="G53" t="s">
        <v>17</v>
      </c>
      <c r="H53" s="3"/>
      <c r="I53" t="s">
        <v>17</v>
      </c>
      <c r="J53" t="s">
        <v>12</v>
      </c>
      <c r="K53">
        <v>455</v>
      </c>
      <c r="M53" s="3"/>
      <c r="N53" s="3"/>
      <c r="O53" s="3"/>
      <c r="P53" s="3"/>
      <c r="Q53" s="3"/>
      <c r="R53" s="3"/>
      <c r="S53" s="3"/>
      <c r="T53" s="3"/>
    </row>
    <row r="54" spans="2:20" x14ac:dyDescent="0.2">
      <c r="B54" s="3"/>
      <c r="C54" s="3"/>
      <c r="D54" s="3"/>
      <c r="E54" s="3"/>
      <c r="F54" s="3" t="s">
        <v>13</v>
      </c>
      <c r="G54">
        <v>258</v>
      </c>
      <c r="H54" s="3" t="s">
        <v>11</v>
      </c>
      <c r="I54">
        <v>258</v>
      </c>
      <c r="J54" t="s">
        <v>11</v>
      </c>
      <c r="K54">
        <v>258</v>
      </c>
      <c r="M54" s="3"/>
      <c r="N54" s="3"/>
      <c r="O54" s="3"/>
      <c r="P54" s="3"/>
      <c r="Q54" s="3"/>
      <c r="R54" s="3"/>
      <c r="S54" s="3"/>
      <c r="T54" s="3"/>
    </row>
    <row r="55" spans="2:20" x14ac:dyDescent="0.2">
      <c r="B55" s="3"/>
      <c r="C55" s="3"/>
      <c r="D55" s="3"/>
      <c r="E55" s="3"/>
      <c r="F55" s="3"/>
      <c r="G55" t="s">
        <v>17</v>
      </c>
      <c r="H55" s="3"/>
      <c r="I55" t="s">
        <v>17</v>
      </c>
      <c r="J55" t="s">
        <v>12</v>
      </c>
      <c r="K55">
        <v>270</v>
      </c>
      <c r="M55" s="3"/>
      <c r="N55" s="3"/>
      <c r="O55" s="3"/>
      <c r="P55" s="3"/>
      <c r="Q55" s="3"/>
      <c r="R55" s="3"/>
      <c r="S55" s="3"/>
      <c r="T55" s="3"/>
    </row>
    <row r="56" spans="2:20" x14ac:dyDescent="0.2">
      <c r="B56" s="3"/>
      <c r="C56" s="3"/>
      <c r="D56" s="3"/>
      <c r="E56" s="3"/>
      <c r="F56" s="3"/>
      <c r="G56" t="s">
        <v>17</v>
      </c>
      <c r="H56" s="3" t="s">
        <v>12</v>
      </c>
      <c r="I56">
        <v>271</v>
      </c>
      <c r="J56" t="s">
        <v>11</v>
      </c>
      <c r="K56">
        <v>271</v>
      </c>
      <c r="M56" s="3"/>
      <c r="N56" s="3"/>
      <c r="O56" s="3"/>
      <c r="P56" s="3"/>
      <c r="Q56" s="3"/>
      <c r="R56" s="3"/>
      <c r="S56" s="3"/>
      <c r="T56" s="3"/>
    </row>
    <row r="57" spans="2:20" x14ac:dyDescent="0.2">
      <c r="B57" s="3"/>
      <c r="C57" s="3"/>
      <c r="D57" s="3"/>
      <c r="E57" s="3"/>
      <c r="F57" s="3"/>
      <c r="G57" t="s">
        <v>17</v>
      </c>
      <c r="H57" s="3"/>
      <c r="I57" t="s">
        <v>17</v>
      </c>
      <c r="J57" t="s">
        <v>12</v>
      </c>
      <c r="K57">
        <v>283</v>
      </c>
      <c r="M57" s="3"/>
      <c r="N57" s="3"/>
      <c r="O57" s="3"/>
      <c r="P57" s="3"/>
      <c r="Q57" s="3"/>
      <c r="R57" s="3"/>
      <c r="S57" s="3"/>
      <c r="T57" s="3"/>
    </row>
    <row r="58" spans="2:20" x14ac:dyDescent="0.2">
      <c r="B58" s="3"/>
      <c r="C58" s="3"/>
      <c r="D58" s="3"/>
      <c r="E58" s="3"/>
      <c r="F58" s="3" t="s">
        <v>14</v>
      </c>
      <c r="G58">
        <v>250</v>
      </c>
      <c r="H58" s="3" t="s">
        <v>11</v>
      </c>
      <c r="I58">
        <v>250</v>
      </c>
      <c r="J58" t="s">
        <v>11</v>
      </c>
      <c r="K58">
        <v>250</v>
      </c>
      <c r="M58" s="3"/>
      <c r="N58" s="3"/>
      <c r="O58" s="3"/>
      <c r="P58" s="3"/>
      <c r="Q58" s="3"/>
      <c r="R58" s="3"/>
      <c r="S58" s="3"/>
      <c r="T58" s="3"/>
    </row>
    <row r="59" spans="2:20" x14ac:dyDescent="0.2">
      <c r="B59" s="3"/>
      <c r="C59" s="3"/>
      <c r="D59" s="3"/>
      <c r="E59" s="3"/>
      <c r="F59" s="3"/>
      <c r="G59" t="s">
        <v>17</v>
      </c>
      <c r="H59" s="3"/>
      <c r="I59" t="s">
        <v>17</v>
      </c>
      <c r="J59" t="s">
        <v>12</v>
      </c>
      <c r="K59">
        <v>261</v>
      </c>
      <c r="M59" s="3"/>
      <c r="N59" s="3"/>
      <c r="O59" s="3"/>
      <c r="P59" s="3"/>
      <c r="Q59" s="3"/>
      <c r="R59" s="3"/>
      <c r="S59" s="3"/>
      <c r="T59" s="3"/>
    </row>
    <row r="60" spans="2:20" x14ac:dyDescent="0.2">
      <c r="B60" s="3"/>
      <c r="C60" s="3"/>
      <c r="D60" s="3"/>
      <c r="E60" s="3"/>
      <c r="F60" s="3"/>
      <c r="G60" t="s">
        <v>17</v>
      </c>
      <c r="H60" s="3" t="s">
        <v>12</v>
      </c>
      <c r="I60">
        <v>262</v>
      </c>
      <c r="J60" t="s">
        <v>11</v>
      </c>
      <c r="K60">
        <v>262</v>
      </c>
      <c r="M60" s="3"/>
      <c r="N60" s="3"/>
      <c r="O60" s="3"/>
      <c r="P60" s="3"/>
      <c r="Q60" s="3"/>
      <c r="R60" s="3"/>
      <c r="S60" s="3"/>
      <c r="T60" s="3"/>
    </row>
    <row r="61" spans="2:20" x14ac:dyDescent="0.2">
      <c r="B61" s="3"/>
      <c r="C61" s="3"/>
      <c r="D61" s="3"/>
      <c r="E61" s="3"/>
      <c r="F61" s="3"/>
      <c r="G61" t="s">
        <v>17</v>
      </c>
      <c r="H61" s="3"/>
      <c r="I61" t="s">
        <v>17</v>
      </c>
      <c r="J61" t="s">
        <v>12</v>
      </c>
      <c r="K61">
        <v>274</v>
      </c>
      <c r="M61" s="3"/>
      <c r="N61" s="3"/>
      <c r="O61" s="3"/>
      <c r="P61" s="3"/>
      <c r="Q61" s="3"/>
      <c r="R61" s="3"/>
      <c r="S61" s="3"/>
      <c r="T61" s="3"/>
    </row>
    <row r="62" spans="2:20" x14ac:dyDescent="0.2">
      <c r="B62" s="3"/>
      <c r="C62" s="3"/>
      <c r="D62" s="3" t="s">
        <v>7</v>
      </c>
      <c r="E62" s="3">
        <v>227</v>
      </c>
      <c r="F62" s="3" t="s">
        <v>5</v>
      </c>
      <c r="G62">
        <v>413</v>
      </c>
      <c r="H62" s="3" t="s">
        <v>11</v>
      </c>
      <c r="I62">
        <v>413</v>
      </c>
      <c r="J62" t="s">
        <v>11</v>
      </c>
      <c r="K62">
        <v>413</v>
      </c>
      <c r="M62" s="3"/>
      <c r="N62" s="3"/>
      <c r="O62" s="3"/>
      <c r="P62" s="3"/>
      <c r="Q62" s="3"/>
      <c r="R62" s="3"/>
      <c r="S62" s="3"/>
      <c r="T62" s="3"/>
    </row>
    <row r="63" spans="2:20" x14ac:dyDescent="0.2">
      <c r="B63" s="3"/>
      <c r="C63" s="3"/>
      <c r="D63" s="3"/>
      <c r="E63" s="3"/>
      <c r="F63" s="3"/>
      <c r="G63" t="s">
        <v>17</v>
      </c>
      <c r="H63" s="3"/>
      <c r="I63" t="s">
        <v>17</v>
      </c>
      <c r="J63" t="s">
        <v>12</v>
      </c>
      <c r="K63">
        <v>432</v>
      </c>
      <c r="M63" s="3"/>
      <c r="N63" s="3"/>
      <c r="O63" s="3"/>
      <c r="P63" s="3"/>
      <c r="Q63" s="3"/>
      <c r="R63" s="3"/>
      <c r="S63" s="3"/>
      <c r="T63" s="3"/>
    </row>
    <row r="64" spans="2:20" x14ac:dyDescent="0.2">
      <c r="B64" s="3"/>
      <c r="C64" s="3"/>
      <c r="D64" s="3"/>
      <c r="E64" s="3"/>
      <c r="F64" s="3"/>
      <c r="G64" t="s">
        <v>17</v>
      </c>
      <c r="H64" s="3" t="s">
        <v>12</v>
      </c>
      <c r="I64">
        <v>434</v>
      </c>
      <c r="J64" t="s">
        <v>11</v>
      </c>
      <c r="K64">
        <v>434</v>
      </c>
      <c r="M64" s="3"/>
      <c r="N64" s="3"/>
      <c r="O64" s="3"/>
      <c r="P64" s="3"/>
      <c r="Q64" s="3"/>
      <c r="R64" s="3"/>
      <c r="S64" s="3"/>
      <c r="T64" s="3"/>
    </row>
    <row r="65" spans="2:20" x14ac:dyDescent="0.2">
      <c r="B65" s="3"/>
      <c r="C65" s="3"/>
      <c r="D65" s="3"/>
      <c r="E65" s="3"/>
      <c r="F65" s="3"/>
      <c r="G65" t="s">
        <v>17</v>
      </c>
      <c r="H65" s="3"/>
      <c r="I65" t="s">
        <v>17</v>
      </c>
      <c r="J65" t="s">
        <v>12</v>
      </c>
      <c r="K65">
        <v>454</v>
      </c>
      <c r="M65" s="3"/>
      <c r="N65" s="3"/>
      <c r="O65" s="3"/>
      <c r="P65" s="3"/>
      <c r="Q65" s="3"/>
      <c r="R65" s="3"/>
      <c r="S65" s="3"/>
      <c r="T65" s="3"/>
    </row>
    <row r="66" spans="2:20" x14ac:dyDescent="0.2">
      <c r="B66" s="3"/>
      <c r="C66" s="3"/>
      <c r="D66" s="3"/>
      <c r="E66" s="3"/>
      <c r="F66" s="3" t="s">
        <v>13</v>
      </c>
      <c r="G66">
        <v>227</v>
      </c>
      <c r="H66" s="3" t="s">
        <v>11</v>
      </c>
      <c r="I66">
        <v>227</v>
      </c>
      <c r="J66" t="s">
        <v>11</v>
      </c>
      <c r="K66">
        <v>227</v>
      </c>
      <c r="M66" s="3"/>
      <c r="N66" s="3"/>
      <c r="O66" s="3"/>
      <c r="P66" s="3"/>
      <c r="Q66" s="3"/>
      <c r="R66" s="3"/>
      <c r="S66" s="3"/>
      <c r="T66" s="3"/>
    </row>
    <row r="67" spans="2:20" x14ac:dyDescent="0.2">
      <c r="B67" s="3"/>
      <c r="C67" s="3"/>
      <c r="D67" s="3"/>
      <c r="E67" s="3"/>
      <c r="F67" s="3"/>
      <c r="G67" t="s">
        <v>17</v>
      </c>
      <c r="H67" s="3"/>
      <c r="I67" t="s">
        <v>17</v>
      </c>
      <c r="J67" t="s">
        <v>12</v>
      </c>
      <c r="K67">
        <v>238</v>
      </c>
      <c r="M67" s="3"/>
      <c r="N67" s="3"/>
      <c r="O67" s="3"/>
      <c r="P67" s="3"/>
      <c r="Q67" s="3"/>
      <c r="R67" s="3"/>
      <c r="S67" s="3"/>
      <c r="T67" s="3"/>
    </row>
    <row r="68" spans="2:20" x14ac:dyDescent="0.2">
      <c r="B68" s="3"/>
      <c r="C68" s="3"/>
      <c r="D68" s="3"/>
      <c r="E68" s="3"/>
      <c r="F68" s="3"/>
      <c r="G68" t="s">
        <v>17</v>
      </c>
      <c r="H68" s="3" t="s">
        <v>12</v>
      </c>
      <c r="I68">
        <v>238</v>
      </c>
      <c r="J68" t="s">
        <v>11</v>
      </c>
      <c r="K68">
        <v>238</v>
      </c>
      <c r="M68" s="3"/>
      <c r="N68" s="3"/>
      <c r="O68" s="3"/>
      <c r="P68" s="3"/>
      <c r="Q68" s="3"/>
      <c r="R68" s="3"/>
      <c r="S68" s="3"/>
      <c r="T68" s="3"/>
    </row>
    <row r="69" spans="2:20" x14ac:dyDescent="0.2">
      <c r="B69" s="3"/>
      <c r="C69" s="3"/>
      <c r="D69" s="3"/>
      <c r="E69" s="3"/>
      <c r="F69" s="3"/>
      <c r="G69" t="s">
        <v>17</v>
      </c>
      <c r="H69" s="3"/>
      <c r="I69" t="s">
        <v>17</v>
      </c>
      <c r="J69" t="s">
        <v>12</v>
      </c>
      <c r="K69">
        <v>249</v>
      </c>
      <c r="M69" s="3"/>
      <c r="N69" s="3"/>
      <c r="O69" s="3"/>
      <c r="P69" s="3"/>
      <c r="Q69" s="3"/>
      <c r="R69" s="3"/>
      <c r="S69" s="3"/>
      <c r="T69" s="3"/>
    </row>
    <row r="70" spans="2:20" x14ac:dyDescent="0.2">
      <c r="B70" s="3"/>
      <c r="C70" s="3"/>
      <c r="D70" s="3"/>
      <c r="E70" s="3"/>
      <c r="F70" s="3" t="s">
        <v>14</v>
      </c>
      <c r="G70">
        <v>236</v>
      </c>
      <c r="H70" s="3" t="s">
        <v>11</v>
      </c>
      <c r="I70">
        <v>236</v>
      </c>
      <c r="J70" t="s">
        <v>11</v>
      </c>
      <c r="K70">
        <v>236</v>
      </c>
      <c r="M70" s="3"/>
      <c r="N70" s="3"/>
      <c r="O70" s="3"/>
      <c r="P70" s="3"/>
      <c r="Q70" s="3"/>
      <c r="R70" s="3"/>
      <c r="S70" s="3"/>
      <c r="T70" s="3"/>
    </row>
    <row r="71" spans="2:20" x14ac:dyDescent="0.2">
      <c r="B71" s="3"/>
      <c r="C71" s="3"/>
      <c r="D71" s="3"/>
      <c r="E71" s="3"/>
      <c r="F71" s="3"/>
      <c r="G71" t="s">
        <v>17</v>
      </c>
      <c r="H71" s="3"/>
      <c r="I71" t="s">
        <v>17</v>
      </c>
      <c r="J71" t="s">
        <v>12</v>
      </c>
      <c r="K71">
        <v>246</v>
      </c>
      <c r="M71" s="3"/>
      <c r="N71" s="3"/>
      <c r="O71" s="3"/>
      <c r="P71" s="3"/>
      <c r="Q71" s="3"/>
      <c r="R71" s="3"/>
      <c r="S71" s="3"/>
      <c r="T71" s="3"/>
    </row>
    <row r="72" spans="2:20" x14ac:dyDescent="0.2">
      <c r="B72" s="3"/>
      <c r="C72" s="3"/>
      <c r="D72" s="3"/>
      <c r="E72" s="3"/>
      <c r="F72" s="3"/>
      <c r="G72" t="s">
        <v>17</v>
      </c>
      <c r="H72" s="3" t="s">
        <v>12</v>
      </c>
      <c r="I72">
        <v>247</v>
      </c>
      <c r="J72" t="s">
        <v>11</v>
      </c>
      <c r="K72">
        <v>247</v>
      </c>
      <c r="M72" s="3"/>
      <c r="N72" s="3"/>
      <c r="O72" s="3"/>
      <c r="P72" s="3"/>
      <c r="Q72" s="3"/>
      <c r="R72" s="3"/>
      <c r="S72" s="3"/>
      <c r="T72" s="3"/>
    </row>
    <row r="73" spans="2:20" x14ac:dyDescent="0.2">
      <c r="B73" s="3"/>
      <c r="C73" s="3"/>
      <c r="D73" s="3"/>
      <c r="E73" s="3"/>
      <c r="F73" s="3"/>
      <c r="G73" t="s">
        <v>17</v>
      </c>
      <c r="H73" s="3"/>
      <c r="I73" t="s">
        <v>17</v>
      </c>
      <c r="J73" t="s">
        <v>12</v>
      </c>
      <c r="K73">
        <v>259</v>
      </c>
      <c r="M73" s="3"/>
      <c r="N73" s="3"/>
      <c r="O73" s="3"/>
      <c r="P73" s="3"/>
      <c r="Q73" s="3"/>
      <c r="R73" s="3"/>
      <c r="S73" s="3"/>
      <c r="T73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AB523-3206-C14C-A65B-E62FA7ECCD89}">
  <dimension ref="A1:V73"/>
  <sheetViews>
    <sheetView zoomScaleNormal="100" workbookViewId="0">
      <selection activeCell="Q25" sqref="Q25"/>
    </sheetView>
  </sheetViews>
  <sheetFormatPr baseColWidth="10" defaultRowHeight="16" x14ac:dyDescent="0.2"/>
  <sheetData>
    <row r="1" spans="1:22" x14ac:dyDescent="0.2">
      <c r="A1" t="s">
        <v>15</v>
      </c>
      <c r="B1" s="1" t="s">
        <v>2</v>
      </c>
      <c r="C1" s="1"/>
      <c r="D1" s="1" t="s">
        <v>1</v>
      </c>
      <c r="E1" s="1"/>
      <c r="F1" s="1" t="s">
        <v>0</v>
      </c>
      <c r="G1" s="1"/>
      <c r="H1" s="1" t="s">
        <v>3</v>
      </c>
      <c r="I1" s="1"/>
      <c r="J1" s="1" t="s">
        <v>4</v>
      </c>
      <c r="K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">
      <c r="B2" s="3" t="s">
        <v>8</v>
      </c>
      <c r="C2" s="3">
        <v>267</v>
      </c>
      <c r="D2" s="3" t="s">
        <v>6</v>
      </c>
      <c r="E2" s="3">
        <v>267</v>
      </c>
      <c r="F2" s="3" t="s">
        <v>5</v>
      </c>
      <c r="G2" s="3">
        <v>408</v>
      </c>
      <c r="H2" s="3" t="s">
        <v>11</v>
      </c>
      <c r="I2" s="3">
        <v>408</v>
      </c>
      <c r="J2" t="s">
        <v>11</v>
      </c>
      <c r="K2" s="3">
        <v>408</v>
      </c>
      <c r="M2" s="3"/>
      <c r="N2" s="3"/>
      <c r="O2" s="3"/>
      <c r="P2" s="3"/>
      <c r="Q2" s="3"/>
      <c r="R2" s="3"/>
      <c r="S2" s="3"/>
      <c r="T2" s="3"/>
      <c r="V2" s="3"/>
    </row>
    <row r="3" spans="1:22" x14ac:dyDescent="0.2">
      <c r="B3" s="3"/>
      <c r="C3" s="3"/>
      <c r="D3" s="3"/>
      <c r="E3" s="3"/>
      <c r="F3" s="3"/>
      <c r="G3" s="3" t="s">
        <v>17</v>
      </c>
      <c r="H3" s="3"/>
      <c r="I3" t="s">
        <v>17</v>
      </c>
      <c r="J3" t="s">
        <v>12</v>
      </c>
      <c r="K3">
        <v>1260</v>
      </c>
      <c r="M3" s="3"/>
      <c r="N3" s="3"/>
      <c r="O3" s="3"/>
      <c r="P3" s="3"/>
      <c r="Q3" s="3"/>
      <c r="R3" s="3"/>
      <c r="S3" s="3"/>
      <c r="T3" s="3"/>
    </row>
    <row r="4" spans="1:22" x14ac:dyDescent="0.2">
      <c r="B4" s="3"/>
      <c r="C4" s="3"/>
      <c r="D4" s="3"/>
      <c r="E4" s="3"/>
      <c r="F4" s="3"/>
      <c r="G4" s="3" t="s">
        <v>17</v>
      </c>
      <c r="H4" s="3" t="s">
        <v>12</v>
      </c>
      <c r="I4">
        <v>445</v>
      </c>
      <c r="J4" t="s">
        <v>11</v>
      </c>
      <c r="K4">
        <v>445</v>
      </c>
      <c r="M4" s="3"/>
      <c r="N4" s="3"/>
      <c r="O4" s="3"/>
      <c r="P4" s="3"/>
      <c r="Q4" s="3"/>
      <c r="R4" s="3"/>
      <c r="S4" s="3"/>
      <c r="T4" s="3"/>
    </row>
    <row r="5" spans="1:22" x14ac:dyDescent="0.2">
      <c r="B5" s="3"/>
      <c r="C5" s="3"/>
      <c r="D5" s="3"/>
      <c r="E5" s="3"/>
      <c r="F5" s="3"/>
      <c r="G5" s="3" t="s">
        <v>17</v>
      </c>
      <c r="H5" s="3"/>
      <c r="I5" t="s">
        <v>17</v>
      </c>
      <c r="J5" t="s">
        <v>12</v>
      </c>
      <c r="K5">
        <v>1380</v>
      </c>
      <c r="M5" s="3"/>
      <c r="N5" s="3"/>
      <c r="O5" s="3"/>
      <c r="P5" s="3"/>
      <c r="Q5" s="3"/>
      <c r="R5" s="3"/>
      <c r="S5" s="3"/>
      <c r="T5" s="3"/>
    </row>
    <row r="6" spans="1:22" x14ac:dyDescent="0.2">
      <c r="B6" s="3"/>
      <c r="C6" s="3"/>
      <c r="D6" s="3"/>
      <c r="E6" s="3"/>
      <c r="F6" s="3" t="s">
        <v>13</v>
      </c>
      <c r="G6">
        <v>267</v>
      </c>
      <c r="H6" s="3" t="s">
        <v>11</v>
      </c>
      <c r="I6">
        <v>267</v>
      </c>
      <c r="J6" t="s">
        <v>11</v>
      </c>
      <c r="K6">
        <v>267</v>
      </c>
      <c r="M6" s="3"/>
      <c r="N6" s="3"/>
      <c r="O6" s="3"/>
      <c r="P6" s="3"/>
      <c r="Q6" s="3"/>
      <c r="R6" s="3"/>
      <c r="S6" s="3"/>
      <c r="T6" s="3"/>
    </row>
    <row r="7" spans="1:22" x14ac:dyDescent="0.2">
      <c r="B7" s="3"/>
      <c r="C7" s="3"/>
      <c r="D7" s="3"/>
      <c r="E7" s="3"/>
      <c r="F7" s="3"/>
      <c r="G7" s="3" t="s">
        <v>17</v>
      </c>
      <c r="H7" s="3"/>
      <c r="I7" t="s">
        <v>17</v>
      </c>
      <c r="J7" t="s">
        <v>12</v>
      </c>
      <c r="K7">
        <v>840</v>
      </c>
      <c r="M7" s="3"/>
      <c r="N7" s="3"/>
      <c r="O7" s="3"/>
      <c r="P7" s="3"/>
      <c r="Q7" s="3"/>
      <c r="R7" s="3"/>
      <c r="S7" s="3"/>
      <c r="T7" s="3"/>
    </row>
    <row r="8" spans="1:22" x14ac:dyDescent="0.2">
      <c r="B8" s="3"/>
      <c r="C8" s="3"/>
      <c r="D8" s="3"/>
      <c r="E8" s="3"/>
      <c r="F8" s="3"/>
      <c r="G8" s="3" t="s">
        <v>17</v>
      </c>
      <c r="H8" s="3" t="s">
        <v>12</v>
      </c>
      <c r="I8">
        <v>292</v>
      </c>
      <c r="J8" t="s">
        <v>11</v>
      </c>
      <c r="K8">
        <v>292</v>
      </c>
      <c r="M8" s="3"/>
      <c r="N8" s="3"/>
      <c r="O8" s="3"/>
      <c r="P8" s="3"/>
      <c r="Q8" s="3"/>
      <c r="R8" s="3"/>
      <c r="S8" s="3"/>
      <c r="T8" s="3"/>
    </row>
    <row r="9" spans="1:22" x14ac:dyDescent="0.2">
      <c r="B9" s="3"/>
      <c r="C9" s="3"/>
      <c r="D9" s="3"/>
      <c r="E9" s="3"/>
      <c r="F9" s="3"/>
      <c r="G9" s="3" t="s">
        <v>17</v>
      </c>
      <c r="H9" s="3"/>
      <c r="I9" t="s">
        <v>17</v>
      </c>
      <c r="J9" t="s">
        <v>12</v>
      </c>
      <c r="K9">
        <v>917</v>
      </c>
      <c r="M9" s="3"/>
      <c r="N9" s="3"/>
      <c r="O9" s="3"/>
      <c r="P9" s="3"/>
      <c r="Q9" s="3"/>
      <c r="R9" s="3"/>
      <c r="S9" s="3"/>
      <c r="T9" s="3"/>
    </row>
    <row r="10" spans="1:22" x14ac:dyDescent="0.2">
      <c r="B10" s="3"/>
      <c r="C10" s="3"/>
      <c r="D10" s="3"/>
      <c r="E10" s="3"/>
      <c r="F10" s="3" t="s">
        <v>14</v>
      </c>
      <c r="G10" s="3">
        <v>257</v>
      </c>
      <c r="H10" s="3" t="s">
        <v>11</v>
      </c>
      <c r="I10">
        <v>257</v>
      </c>
      <c r="J10" t="s">
        <v>11</v>
      </c>
      <c r="K10">
        <v>257</v>
      </c>
      <c r="M10" s="3"/>
      <c r="N10" s="3"/>
      <c r="O10" s="3"/>
      <c r="P10" s="3"/>
      <c r="Q10" s="3"/>
      <c r="R10" s="3"/>
      <c r="S10" s="3"/>
      <c r="T10" s="3"/>
    </row>
    <row r="11" spans="1:22" x14ac:dyDescent="0.2">
      <c r="B11" s="3"/>
      <c r="C11" s="3"/>
      <c r="D11" s="3"/>
      <c r="E11" s="3"/>
      <c r="F11" s="3"/>
      <c r="G11" s="3" t="s">
        <v>17</v>
      </c>
      <c r="H11" s="3"/>
      <c r="I11" t="s">
        <v>17</v>
      </c>
      <c r="J11" t="s">
        <v>12</v>
      </c>
      <c r="K11">
        <v>807</v>
      </c>
      <c r="M11" s="3"/>
      <c r="N11" s="3"/>
      <c r="O11" s="3"/>
      <c r="P11" s="3"/>
      <c r="Q11" s="3"/>
      <c r="R11" s="3"/>
      <c r="S11" s="3"/>
      <c r="T11" s="3"/>
    </row>
    <row r="12" spans="1:22" x14ac:dyDescent="0.2">
      <c r="B12" s="3"/>
      <c r="C12" s="3"/>
      <c r="D12" s="3"/>
      <c r="E12" s="3"/>
      <c r="F12" s="3"/>
      <c r="G12" s="3" t="s">
        <v>17</v>
      </c>
      <c r="H12" s="3" t="s">
        <v>12</v>
      </c>
      <c r="I12">
        <v>280</v>
      </c>
      <c r="J12" t="s">
        <v>11</v>
      </c>
      <c r="K12">
        <v>280</v>
      </c>
      <c r="M12" s="3"/>
      <c r="N12" s="3"/>
      <c r="O12" s="3"/>
      <c r="P12" s="3"/>
      <c r="Q12" s="3"/>
      <c r="R12" s="3"/>
      <c r="S12" s="3"/>
      <c r="T12" s="3"/>
    </row>
    <row r="13" spans="1:22" x14ac:dyDescent="0.2">
      <c r="B13" s="3"/>
      <c r="C13" s="3"/>
      <c r="D13" s="3"/>
      <c r="E13" s="3"/>
      <c r="F13" s="3"/>
      <c r="G13" s="3" t="s">
        <v>17</v>
      </c>
      <c r="H13" s="3"/>
      <c r="I13" t="s">
        <v>17</v>
      </c>
      <c r="J13" t="s">
        <v>12</v>
      </c>
      <c r="K13">
        <v>881</v>
      </c>
      <c r="M13" s="3"/>
      <c r="N13" s="3"/>
      <c r="O13" s="3"/>
      <c r="P13" s="3"/>
      <c r="Q13" s="3"/>
      <c r="R13" s="3"/>
      <c r="S13" s="3"/>
      <c r="T13" s="3"/>
    </row>
    <row r="14" spans="1:22" x14ac:dyDescent="0.2">
      <c r="B14" s="3"/>
      <c r="C14" s="3"/>
      <c r="D14" s="3" t="s">
        <v>7</v>
      </c>
      <c r="E14" s="3">
        <v>216</v>
      </c>
      <c r="F14" s="3" t="s">
        <v>5</v>
      </c>
      <c r="G14" s="3">
        <v>397</v>
      </c>
      <c r="H14" s="3" t="s">
        <v>11</v>
      </c>
      <c r="I14">
        <v>397</v>
      </c>
      <c r="J14" t="s">
        <v>11</v>
      </c>
      <c r="K14">
        <v>397</v>
      </c>
      <c r="M14" s="3"/>
      <c r="N14" s="3"/>
      <c r="O14" s="3"/>
      <c r="P14" s="3"/>
      <c r="Q14" s="3"/>
      <c r="R14" s="3"/>
      <c r="S14" s="3"/>
      <c r="T14" s="3"/>
    </row>
    <row r="15" spans="1:22" x14ac:dyDescent="0.2">
      <c r="B15" s="3"/>
      <c r="C15" s="3"/>
      <c r="D15" s="3"/>
      <c r="E15" s="3"/>
      <c r="F15" s="3"/>
      <c r="G15" s="3" t="s">
        <v>17</v>
      </c>
      <c r="H15" s="3"/>
      <c r="I15" t="s">
        <v>17</v>
      </c>
      <c r="J15" t="s">
        <v>12</v>
      </c>
      <c r="K15">
        <v>1230</v>
      </c>
      <c r="M15" s="3"/>
      <c r="N15" s="3"/>
      <c r="O15" s="3"/>
      <c r="P15" s="3"/>
      <c r="Q15" s="3"/>
      <c r="R15" s="3"/>
      <c r="S15" s="3"/>
      <c r="T15" s="3"/>
    </row>
    <row r="16" spans="1:22" x14ac:dyDescent="0.2">
      <c r="B16" s="3"/>
      <c r="C16" s="3"/>
      <c r="D16" s="3"/>
      <c r="E16" s="3"/>
      <c r="F16" s="3"/>
      <c r="G16" s="3" t="s">
        <v>17</v>
      </c>
      <c r="H16" s="3" t="s">
        <v>12</v>
      </c>
      <c r="I16">
        <v>433</v>
      </c>
      <c r="J16" t="s">
        <v>11</v>
      </c>
      <c r="K16">
        <v>433</v>
      </c>
      <c r="M16" s="3"/>
      <c r="N16" s="3"/>
      <c r="O16" s="3"/>
      <c r="P16" s="3"/>
      <c r="Q16" s="3"/>
      <c r="R16" s="3"/>
      <c r="S16" s="3"/>
      <c r="T16" s="3"/>
    </row>
    <row r="17" spans="2:20" x14ac:dyDescent="0.2">
      <c r="B17" s="3"/>
      <c r="C17" s="3"/>
      <c r="D17" s="3"/>
      <c r="E17" s="3"/>
      <c r="F17" s="3"/>
      <c r="G17" s="3" t="s">
        <v>17</v>
      </c>
      <c r="H17" s="3"/>
      <c r="I17" t="s">
        <v>17</v>
      </c>
      <c r="J17" t="s">
        <v>12</v>
      </c>
      <c r="K17">
        <v>1340</v>
      </c>
      <c r="M17" s="3"/>
      <c r="N17" s="3"/>
      <c r="O17" s="3"/>
      <c r="P17" s="3"/>
      <c r="Q17" s="3"/>
      <c r="R17" s="3"/>
      <c r="S17" s="3"/>
      <c r="T17" s="3"/>
    </row>
    <row r="18" spans="2:20" x14ac:dyDescent="0.2">
      <c r="B18" s="3"/>
      <c r="C18" s="3"/>
      <c r="D18" s="3"/>
      <c r="E18" s="3"/>
      <c r="F18" s="3" t="s">
        <v>13</v>
      </c>
      <c r="G18" s="3">
        <v>216</v>
      </c>
      <c r="H18" s="3" t="s">
        <v>11</v>
      </c>
      <c r="I18">
        <v>216</v>
      </c>
      <c r="J18" t="s">
        <v>11</v>
      </c>
      <c r="K18">
        <v>216</v>
      </c>
      <c r="M18" s="3"/>
      <c r="N18" s="3"/>
      <c r="O18" s="3"/>
      <c r="P18" s="3"/>
      <c r="Q18" s="3"/>
      <c r="R18" s="3"/>
      <c r="S18" s="3"/>
      <c r="T18" s="3"/>
    </row>
    <row r="19" spans="2:20" x14ac:dyDescent="0.2">
      <c r="B19" s="3"/>
      <c r="C19" s="3"/>
      <c r="D19" s="3"/>
      <c r="E19" s="3"/>
      <c r="F19" s="3"/>
      <c r="G19" s="3" t="s">
        <v>17</v>
      </c>
      <c r="H19" s="3"/>
      <c r="I19" t="s">
        <v>17</v>
      </c>
      <c r="J19" t="s">
        <v>12</v>
      </c>
      <c r="K19">
        <v>684</v>
      </c>
      <c r="M19" s="3"/>
      <c r="N19" s="3"/>
      <c r="O19" s="3"/>
      <c r="P19" s="3"/>
      <c r="Q19" s="3"/>
      <c r="R19" s="3"/>
      <c r="S19" s="3"/>
      <c r="T19" s="3"/>
    </row>
    <row r="20" spans="2:20" x14ac:dyDescent="0.2">
      <c r="B20" s="3"/>
      <c r="C20" s="3"/>
      <c r="D20" s="3"/>
      <c r="E20" s="3"/>
      <c r="F20" s="3"/>
      <c r="G20" s="3" t="s">
        <v>17</v>
      </c>
      <c r="H20" s="3" t="s">
        <v>12</v>
      </c>
      <c r="I20">
        <v>236</v>
      </c>
      <c r="J20" t="s">
        <v>11</v>
      </c>
      <c r="K20">
        <v>236</v>
      </c>
      <c r="M20" s="3"/>
      <c r="N20" s="3"/>
      <c r="O20" s="3"/>
      <c r="P20" s="3"/>
      <c r="Q20" s="3"/>
      <c r="R20" s="3"/>
      <c r="S20" s="3"/>
      <c r="T20" s="3"/>
    </row>
    <row r="21" spans="2:20" x14ac:dyDescent="0.2">
      <c r="B21" s="3"/>
      <c r="C21" s="3"/>
      <c r="D21" s="3"/>
      <c r="E21" s="3"/>
      <c r="F21" s="3"/>
      <c r="G21" s="3" t="s">
        <v>17</v>
      </c>
      <c r="H21" s="3"/>
      <c r="I21" t="s">
        <v>17</v>
      </c>
      <c r="J21" t="s">
        <v>12</v>
      </c>
      <c r="K21">
        <v>747</v>
      </c>
      <c r="M21" s="3"/>
      <c r="N21" s="3"/>
      <c r="O21" s="3"/>
      <c r="P21" s="3"/>
      <c r="Q21" s="3"/>
      <c r="R21" s="3"/>
      <c r="S21" s="3"/>
      <c r="T21" s="3"/>
    </row>
    <row r="22" spans="2:20" x14ac:dyDescent="0.2">
      <c r="B22" s="3"/>
      <c r="C22" s="3"/>
      <c r="D22" s="3"/>
      <c r="E22" s="3"/>
      <c r="F22" s="3" t="s">
        <v>14</v>
      </c>
      <c r="G22" s="3">
        <v>219</v>
      </c>
      <c r="H22" s="3" t="s">
        <v>11</v>
      </c>
      <c r="I22">
        <v>219</v>
      </c>
      <c r="J22" t="s">
        <v>11</v>
      </c>
      <c r="K22">
        <v>219</v>
      </c>
      <c r="M22" s="3"/>
      <c r="N22" s="3"/>
      <c r="O22" s="3"/>
      <c r="P22" s="3"/>
      <c r="Q22" s="3"/>
      <c r="R22" s="3"/>
      <c r="S22" s="3"/>
      <c r="T22" s="3"/>
    </row>
    <row r="23" spans="2:20" x14ac:dyDescent="0.2">
      <c r="B23" s="3"/>
      <c r="C23" s="3"/>
      <c r="D23" s="3"/>
      <c r="E23" s="3"/>
      <c r="F23" s="3"/>
      <c r="G23" s="3" t="s">
        <v>17</v>
      </c>
      <c r="H23" s="3"/>
      <c r="I23" t="s">
        <v>17</v>
      </c>
      <c r="J23" t="s">
        <v>12</v>
      </c>
      <c r="K23">
        <v>691</v>
      </c>
      <c r="M23" s="3"/>
      <c r="N23" s="3"/>
      <c r="O23" s="3"/>
      <c r="P23" s="3"/>
      <c r="Q23" s="3"/>
      <c r="R23" s="3"/>
      <c r="S23" s="3"/>
      <c r="T23" s="3"/>
    </row>
    <row r="24" spans="2:20" x14ac:dyDescent="0.2">
      <c r="B24" s="3"/>
      <c r="C24" s="3"/>
      <c r="D24" s="3"/>
      <c r="E24" s="3"/>
      <c r="F24" s="3"/>
      <c r="G24" s="3" t="s">
        <v>17</v>
      </c>
      <c r="H24" s="3" t="s">
        <v>12</v>
      </c>
      <c r="I24">
        <v>239</v>
      </c>
      <c r="J24" t="s">
        <v>11</v>
      </c>
      <c r="K24">
        <v>239</v>
      </c>
      <c r="M24" s="3"/>
      <c r="N24" s="3"/>
      <c r="O24" s="3"/>
      <c r="P24" s="3"/>
      <c r="Q24" s="3"/>
      <c r="R24" s="3"/>
      <c r="S24" s="3"/>
      <c r="T24" s="3"/>
    </row>
    <row r="25" spans="2:20" x14ac:dyDescent="0.2">
      <c r="B25" s="3"/>
      <c r="C25" s="3"/>
      <c r="D25" s="3"/>
      <c r="E25" s="3"/>
      <c r="F25" s="3"/>
      <c r="G25" s="3" t="s">
        <v>17</v>
      </c>
      <c r="H25" s="3"/>
      <c r="I25" t="s">
        <v>17</v>
      </c>
      <c r="J25" t="s">
        <v>12</v>
      </c>
      <c r="K25">
        <v>754</v>
      </c>
      <c r="M25" s="3"/>
      <c r="N25" s="3"/>
      <c r="O25" s="3"/>
      <c r="P25" s="3"/>
      <c r="Q25" s="3"/>
      <c r="R25" s="3"/>
      <c r="S25" s="3"/>
      <c r="T25" s="3"/>
    </row>
    <row r="26" spans="2:20" x14ac:dyDescent="0.2">
      <c r="B26" s="3" t="s">
        <v>9</v>
      </c>
      <c r="C26" s="3">
        <v>260</v>
      </c>
      <c r="D26" s="3" t="s">
        <v>6</v>
      </c>
      <c r="E26">
        <v>260</v>
      </c>
      <c r="F26" s="3" t="s">
        <v>5</v>
      </c>
      <c r="G26">
        <v>397</v>
      </c>
      <c r="H26" s="3" t="s">
        <v>11</v>
      </c>
      <c r="I26">
        <v>397</v>
      </c>
      <c r="J26" t="s">
        <v>11</v>
      </c>
      <c r="K26">
        <v>397</v>
      </c>
      <c r="M26" s="3"/>
      <c r="N26" s="3"/>
      <c r="O26" s="3"/>
      <c r="P26" s="3"/>
      <c r="Q26" s="3"/>
      <c r="R26" s="3"/>
      <c r="S26" s="3"/>
      <c r="T26" s="3"/>
    </row>
    <row r="27" spans="2:20" x14ac:dyDescent="0.2">
      <c r="B27" s="3"/>
      <c r="C27" s="3"/>
      <c r="D27" s="3"/>
      <c r="E27" s="3"/>
      <c r="F27" s="3"/>
      <c r="G27" s="3" t="s">
        <v>17</v>
      </c>
      <c r="H27" s="3"/>
      <c r="I27" t="s">
        <v>17</v>
      </c>
      <c r="J27" t="s">
        <v>12</v>
      </c>
      <c r="K27">
        <v>1230</v>
      </c>
      <c r="M27" s="3"/>
      <c r="N27" s="3"/>
      <c r="O27" s="3"/>
      <c r="P27" s="3"/>
      <c r="Q27" s="3"/>
      <c r="R27" s="3"/>
      <c r="S27" s="3"/>
      <c r="T27" s="3"/>
    </row>
    <row r="28" spans="2:20" x14ac:dyDescent="0.2">
      <c r="B28" s="3"/>
      <c r="C28" s="3"/>
      <c r="D28" s="3"/>
      <c r="E28" s="3"/>
      <c r="F28" s="3"/>
      <c r="G28" s="3" t="s">
        <v>17</v>
      </c>
      <c r="H28" s="3" t="s">
        <v>12</v>
      </c>
      <c r="I28">
        <v>440</v>
      </c>
      <c r="J28" t="s">
        <v>11</v>
      </c>
      <c r="K28">
        <v>440</v>
      </c>
      <c r="M28" s="3"/>
      <c r="N28" s="3"/>
      <c r="O28" s="3"/>
      <c r="P28" s="3"/>
      <c r="Q28" s="3"/>
      <c r="R28" s="3"/>
      <c r="S28" s="3"/>
      <c r="T28" s="3"/>
    </row>
    <row r="29" spans="2:20" x14ac:dyDescent="0.2">
      <c r="B29" s="3"/>
      <c r="C29" s="3"/>
      <c r="D29" s="3"/>
      <c r="E29" s="3"/>
      <c r="F29" s="3"/>
      <c r="G29" s="3" t="s">
        <v>17</v>
      </c>
      <c r="H29" s="3"/>
      <c r="I29" t="s">
        <v>17</v>
      </c>
      <c r="J29" t="s">
        <v>12</v>
      </c>
      <c r="K29">
        <v>1360</v>
      </c>
      <c r="M29" s="3"/>
      <c r="N29" s="3"/>
      <c r="O29" s="3"/>
      <c r="P29" s="3"/>
      <c r="Q29" s="3"/>
      <c r="R29" s="3"/>
      <c r="S29" s="3"/>
      <c r="T29" s="3"/>
    </row>
    <row r="30" spans="2:20" x14ac:dyDescent="0.2">
      <c r="B30" s="3"/>
      <c r="C30" s="3"/>
      <c r="D30" s="3"/>
      <c r="E30" s="3"/>
      <c r="F30" s="3" t="s">
        <v>13</v>
      </c>
      <c r="G30">
        <v>260</v>
      </c>
      <c r="H30" s="3" t="s">
        <v>11</v>
      </c>
      <c r="I30">
        <v>260</v>
      </c>
      <c r="J30" t="s">
        <v>11</v>
      </c>
      <c r="K30">
        <v>260</v>
      </c>
      <c r="M30" s="3"/>
      <c r="N30" s="3"/>
      <c r="O30" s="3"/>
      <c r="P30" s="3"/>
      <c r="Q30" s="3"/>
      <c r="R30" s="3"/>
      <c r="S30" s="3"/>
      <c r="T30" s="3"/>
    </row>
    <row r="31" spans="2:20" x14ac:dyDescent="0.2">
      <c r="B31" s="3"/>
      <c r="C31" s="3"/>
      <c r="D31" s="3"/>
      <c r="E31" s="3"/>
      <c r="F31" s="3"/>
      <c r="G31" s="3" t="s">
        <v>17</v>
      </c>
      <c r="H31" s="3"/>
      <c r="I31" t="s">
        <v>17</v>
      </c>
      <c r="J31" t="s">
        <v>12</v>
      </c>
      <c r="K31">
        <v>818</v>
      </c>
      <c r="M31" s="3"/>
      <c r="N31" s="3"/>
      <c r="O31" s="3"/>
      <c r="P31" s="3"/>
      <c r="Q31" s="3"/>
      <c r="R31" s="3"/>
      <c r="S31" s="3"/>
      <c r="T31" s="3"/>
    </row>
    <row r="32" spans="2:20" x14ac:dyDescent="0.2">
      <c r="B32" s="3"/>
      <c r="C32" s="3"/>
      <c r="D32" s="3"/>
      <c r="E32" s="3"/>
      <c r="F32" s="3"/>
      <c r="G32" s="3" t="s">
        <v>17</v>
      </c>
      <c r="H32" s="3" t="s">
        <v>12</v>
      </c>
      <c r="I32">
        <v>289</v>
      </c>
      <c r="J32" t="s">
        <v>11</v>
      </c>
      <c r="K32">
        <v>289</v>
      </c>
      <c r="M32" s="3"/>
      <c r="N32" s="3"/>
      <c r="O32" s="3"/>
      <c r="P32" s="3"/>
      <c r="Q32" s="3"/>
      <c r="R32" s="3"/>
      <c r="S32" s="3"/>
      <c r="T32" s="3"/>
    </row>
    <row r="33" spans="2:20" x14ac:dyDescent="0.2">
      <c r="B33" s="3"/>
      <c r="C33" s="3"/>
      <c r="D33" s="3"/>
      <c r="E33" s="3"/>
      <c r="F33" s="3"/>
      <c r="G33" s="3" t="s">
        <v>17</v>
      </c>
      <c r="H33" s="3"/>
      <c r="I33" t="s">
        <v>17</v>
      </c>
      <c r="J33" t="s">
        <v>12</v>
      </c>
      <c r="K33">
        <v>907</v>
      </c>
      <c r="M33" s="3"/>
      <c r="N33" s="3"/>
      <c r="O33" s="3"/>
      <c r="P33" s="3"/>
      <c r="Q33" s="3"/>
      <c r="R33" s="3"/>
      <c r="S33" s="3"/>
      <c r="T33" s="3"/>
    </row>
    <row r="34" spans="2:20" x14ac:dyDescent="0.2">
      <c r="B34" s="3"/>
      <c r="C34" s="3"/>
      <c r="D34" s="3"/>
      <c r="E34" s="3"/>
      <c r="F34" s="3" t="s">
        <v>14</v>
      </c>
      <c r="G34" s="3">
        <v>250</v>
      </c>
      <c r="H34" s="3" t="s">
        <v>11</v>
      </c>
      <c r="I34">
        <v>250</v>
      </c>
      <c r="J34" t="s">
        <v>11</v>
      </c>
      <c r="K34">
        <v>250</v>
      </c>
      <c r="M34" s="3"/>
      <c r="N34" s="3"/>
      <c r="O34" s="3"/>
      <c r="P34" s="3"/>
      <c r="Q34" s="3"/>
      <c r="R34" s="3"/>
      <c r="S34" s="3"/>
      <c r="T34" s="3"/>
    </row>
    <row r="35" spans="2:20" x14ac:dyDescent="0.2">
      <c r="B35" s="3"/>
      <c r="C35" s="3"/>
      <c r="D35" s="3"/>
      <c r="E35" s="3"/>
      <c r="F35" s="3"/>
      <c r="G35" s="3" t="s">
        <v>17</v>
      </c>
      <c r="H35" s="3"/>
      <c r="I35" t="s">
        <v>17</v>
      </c>
      <c r="J35" t="s">
        <v>12</v>
      </c>
      <c r="K35">
        <v>786</v>
      </c>
      <c r="M35" s="3"/>
      <c r="N35" s="3"/>
      <c r="O35" s="3"/>
      <c r="P35" s="3"/>
      <c r="Q35" s="3"/>
      <c r="R35" s="3"/>
      <c r="S35" s="3"/>
      <c r="T35" s="3"/>
    </row>
    <row r="36" spans="2:20" x14ac:dyDescent="0.2">
      <c r="B36" s="3"/>
      <c r="C36" s="3"/>
      <c r="D36" s="3"/>
      <c r="E36" s="3"/>
      <c r="F36" s="3"/>
      <c r="G36" s="3" t="s">
        <v>17</v>
      </c>
      <c r="H36" s="3" t="s">
        <v>12</v>
      </c>
      <c r="I36">
        <v>277</v>
      </c>
      <c r="J36" t="s">
        <v>11</v>
      </c>
      <c r="K36">
        <v>277</v>
      </c>
      <c r="M36" s="3"/>
      <c r="N36" s="3"/>
      <c r="O36" s="3"/>
      <c r="P36" s="3"/>
      <c r="Q36" s="3"/>
      <c r="R36" s="3"/>
      <c r="S36" s="3"/>
      <c r="T36" s="3"/>
    </row>
    <row r="37" spans="2:20" x14ac:dyDescent="0.2">
      <c r="B37" s="3"/>
      <c r="C37" s="3"/>
      <c r="D37" s="3"/>
      <c r="E37" s="3"/>
      <c r="F37" s="3"/>
      <c r="G37" s="3" t="s">
        <v>17</v>
      </c>
      <c r="H37" s="3"/>
      <c r="I37" t="s">
        <v>17</v>
      </c>
      <c r="J37" t="s">
        <v>12</v>
      </c>
      <c r="K37">
        <v>872</v>
      </c>
      <c r="M37" s="3"/>
      <c r="N37" s="3"/>
      <c r="O37" s="3"/>
      <c r="P37" s="3"/>
      <c r="Q37" s="3"/>
      <c r="R37" s="3"/>
      <c r="S37" s="3"/>
      <c r="T37" s="3"/>
    </row>
    <row r="38" spans="2:20" x14ac:dyDescent="0.2">
      <c r="B38" s="3"/>
      <c r="C38" s="3"/>
      <c r="D38" s="3" t="s">
        <v>7</v>
      </c>
      <c r="E38" s="3">
        <v>211</v>
      </c>
      <c r="F38" s="3" t="s">
        <v>5</v>
      </c>
      <c r="G38" s="3">
        <v>387</v>
      </c>
      <c r="H38" s="3" t="s">
        <v>11</v>
      </c>
      <c r="I38">
        <v>387</v>
      </c>
      <c r="J38" t="s">
        <v>11</v>
      </c>
      <c r="K38">
        <v>387</v>
      </c>
      <c r="M38" s="3"/>
      <c r="N38" s="3"/>
      <c r="O38" s="3"/>
      <c r="P38" s="3"/>
      <c r="Q38" s="3"/>
      <c r="R38" s="3"/>
      <c r="S38" s="3"/>
      <c r="T38" s="3"/>
    </row>
    <row r="39" spans="2:20" x14ac:dyDescent="0.2">
      <c r="B39" s="3"/>
      <c r="C39" s="3"/>
      <c r="D39" s="3"/>
      <c r="E39" s="3"/>
      <c r="F39" s="3"/>
      <c r="G39" s="3" t="s">
        <v>17</v>
      </c>
      <c r="H39" s="3"/>
      <c r="I39" t="s">
        <v>17</v>
      </c>
      <c r="J39" t="s">
        <v>12</v>
      </c>
      <c r="K39">
        <v>1200</v>
      </c>
      <c r="M39" s="3"/>
      <c r="N39" s="3"/>
      <c r="O39" s="3"/>
      <c r="P39" s="3"/>
      <c r="Q39" s="3"/>
      <c r="R39" s="3"/>
      <c r="S39" s="3"/>
      <c r="T39" s="3"/>
    </row>
    <row r="40" spans="2:20" x14ac:dyDescent="0.2">
      <c r="B40" s="3"/>
      <c r="C40" s="3"/>
      <c r="D40" s="3"/>
      <c r="E40" s="3"/>
      <c r="F40" s="3"/>
      <c r="G40" s="3" t="s">
        <v>17</v>
      </c>
      <c r="H40" s="3" t="s">
        <v>12</v>
      </c>
      <c r="I40">
        <v>428</v>
      </c>
      <c r="J40" t="s">
        <v>11</v>
      </c>
      <c r="K40">
        <v>428</v>
      </c>
      <c r="M40" s="3"/>
      <c r="N40" s="3"/>
      <c r="O40" s="3"/>
      <c r="P40" s="3"/>
      <c r="Q40" s="3"/>
      <c r="R40" s="3"/>
      <c r="S40" s="3"/>
      <c r="T40" s="3"/>
    </row>
    <row r="41" spans="2:20" x14ac:dyDescent="0.2">
      <c r="B41" s="3"/>
      <c r="C41" s="3"/>
      <c r="D41" s="3"/>
      <c r="E41" s="3"/>
      <c r="F41" s="3"/>
      <c r="G41" s="3" t="s">
        <v>17</v>
      </c>
      <c r="H41" s="3"/>
      <c r="I41" t="s">
        <v>17</v>
      </c>
      <c r="J41" t="s">
        <v>12</v>
      </c>
      <c r="K41">
        <v>1330</v>
      </c>
      <c r="M41" s="3"/>
      <c r="N41" s="3"/>
      <c r="O41" s="3"/>
      <c r="P41" s="3"/>
      <c r="Q41" s="3"/>
      <c r="R41" s="3"/>
      <c r="S41" s="3"/>
      <c r="T41" s="3"/>
    </row>
    <row r="42" spans="2:20" x14ac:dyDescent="0.2">
      <c r="B42" s="3"/>
      <c r="C42" s="3"/>
      <c r="D42" s="3"/>
      <c r="E42" s="3"/>
      <c r="F42" s="3" t="s">
        <v>13</v>
      </c>
      <c r="G42" s="3">
        <v>211</v>
      </c>
      <c r="H42" s="3" t="s">
        <v>11</v>
      </c>
      <c r="I42">
        <v>211</v>
      </c>
      <c r="J42" t="s">
        <v>11</v>
      </c>
      <c r="K42">
        <v>211</v>
      </c>
      <c r="M42" s="3"/>
      <c r="N42" s="3"/>
      <c r="O42" s="3"/>
      <c r="P42" s="3"/>
      <c r="Q42" s="3"/>
      <c r="R42" s="3"/>
      <c r="S42" s="3"/>
      <c r="T42" s="3"/>
    </row>
    <row r="43" spans="2:20" x14ac:dyDescent="0.2">
      <c r="B43" s="3"/>
      <c r="C43" s="3"/>
      <c r="D43" s="3"/>
      <c r="E43" s="3"/>
      <c r="F43" s="3"/>
      <c r="G43" s="3" t="s">
        <v>17</v>
      </c>
      <c r="H43" s="3"/>
      <c r="I43" t="s">
        <v>17</v>
      </c>
      <c r="J43" t="s">
        <v>12</v>
      </c>
      <c r="K43">
        <v>666</v>
      </c>
      <c r="M43" s="3"/>
      <c r="N43" s="3"/>
      <c r="O43" s="3"/>
      <c r="P43" s="3"/>
      <c r="Q43" s="3"/>
      <c r="R43" s="3"/>
      <c r="S43" s="3"/>
      <c r="T43" s="3"/>
    </row>
    <row r="44" spans="2:20" x14ac:dyDescent="0.2">
      <c r="B44" s="3"/>
      <c r="C44" s="3"/>
      <c r="D44" s="3"/>
      <c r="E44" s="3"/>
      <c r="F44" s="3"/>
      <c r="G44" s="3" t="s">
        <v>17</v>
      </c>
      <c r="H44" s="3" t="s">
        <v>12</v>
      </c>
      <c r="I44">
        <v>233</v>
      </c>
      <c r="J44" t="s">
        <v>11</v>
      </c>
      <c r="K44">
        <v>233</v>
      </c>
      <c r="M44" s="3"/>
      <c r="N44" s="3"/>
      <c r="O44" s="3"/>
      <c r="P44" s="3"/>
      <c r="Q44" s="3"/>
      <c r="R44" s="3"/>
      <c r="S44" s="3"/>
      <c r="T44" s="3"/>
    </row>
    <row r="45" spans="2:20" x14ac:dyDescent="0.2">
      <c r="B45" s="3"/>
      <c r="C45" s="3"/>
      <c r="D45" s="3"/>
      <c r="E45" s="3"/>
      <c r="F45" s="3"/>
      <c r="G45" s="3" t="s">
        <v>17</v>
      </c>
      <c r="H45" s="3"/>
      <c r="I45" t="s">
        <v>17</v>
      </c>
      <c r="J45" t="s">
        <v>12</v>
      </c>
      <c r="K45">
        <v>738</v>
      </c>
      <c r="M45" s="3"/>
      <c r="N45" s="3"/>
      <c r="O45" s="3"/>
      <c r="P45" s="3"/>
      <c r="Q45" s="3"/>
      <c r="R45" s="3"/>
      <c r="S45" s="3"/>
      <c r="T45" s="3"/>
    </row>
    <row r="46" spans="2:20" x14ac:dyDescent="0.2">
      <c r="B46" s="3"/>
      <c r="C46" s="3"/>
      <c r="D46" s="3"/>
      <c r="E46" s="3"/>
      <c r="F46" s="3" t="s">
        <v>14</v>
      </c>
      <c r="G46" s="3">
        <v>213</v>
      </c>
      <c r="H46" s="3" t="s">
        <v>11</v>
      </c>
      <c r="I46">
        <v>213</v>
      </c>
      <c r="J46" t="s">
        <v>11</v>
      </c>
      <c r="K46">
        <v>213</v>
      </c>
      <c r="M46" s="3"/>
      <c r="N46" s="3"/>
      <c r="O46" s="3"/>
      <c r="P46" s="3"/>
      <c r="Q46" s="3"/>
      <c r="R46" s="3"/>
      <c r="S46" s="3"/>
      <c r="T46" s="3"/>
    </row>
    <row r="47" spans="2:20" x14ac:dyDescent="0.2">
      <c r="B47" s="3"/>
      <c r="C47" s="3"/>
      <c r="D47" s="3"/>
      <c r="E47" s="3"/>
      <c r="F47" s="3"/>
      <c r="G47" s="3" t="s">
        <v>17</v>
      </c>
      <c r="H47" s="3"/>
      <c r="I47" t="s">
        <v>17</v>
      </c>
      <c r="J47" t="s">
        <v>12</v>
      </c>
      <c r="K47">
        <v>672</v>
      </c>
      <c r="M47" s="3"/>
      <c r="N47" s="3"/>
      <c r="O47" s="3"/>
      <c r="P47" s="3"/>
      <c r="Q47" s="3"/>
      <c r="R47" s="3"/>
      <c r="S47" s="3"/>
      <c r="T47" s="3"/>
    </row>
    <row r="48" spans="2:20" x14ac:dyDescent="0.2">
      <c r="B48" s="3"/>
      <c r="C48" s="3"/>
      <c r="D48" s="3"/>
      <c r="E48" s="3"/>
      <c r="F48" s="3"/>
      <c r="G48" s="3" t="s">
        <v>17</v>
      </c>
      <c r="H48" s="3" t="s">
        <v>12</v>
      </c>
      <c r="I48">
        <v>236</v>
      </c>
      <c r="J48" t="s">
        <v>11</v>
      </c>
      <c r="K48">
        <v>236</v>
      </c>
      <c r="M48" s="3"/>
      <c r="N48" s="3"/>
      <c r="O48" s="3"/>
      <c r="P48" s="3"/>
      <c r="Q48" s="3"/>
      <c r="R48" s="3"/>
      <c r="S48" s="3"/>
      <c r="T48" s="3"/>
    </row>
    <row r="49" spans="2:20" x14ac:dyDescent="0.2">
      <c r="B49" s="3"/>
      <c r="C49" s="3"/>
      <c r="D49" s="3"/>
      <c r="E49" s="3"/>
      <c r="F49" s="3"/>
      <c r="G49" s="3" t="s">
        <v>17</v>
      </c>
      <c r="H49" s="3"/>
      <c r="I49" t="s">
        <v>17</v>
      </c>
      <c r="J49" t="s">
        <v>12</v>
      </c>
      <c r="K49">
        <v>745</v>
      </c>
      <c r="M49" s="3"/>
      <c r="N49" s="3"/>
      <c r="O49" s="3"/>
      <c r="P49" s="3"/>
      <c r="Q49" s="3"/>
      <c r="R49" s="3"/>
      <c r="S49" s="3"/>
      <c r="T49" s="3"/>
    </row>
    <row r="50" spans="2:20" x14ac:dyDescent="0.2">
      <c r="B50" s="3" t="s">
        <v>10</v>
      </c>
      <c r="C50" s="3">
        <v>275</v>
      </c>
      <c r="D50" s="3" t="s">
        <v>6</v>
      </c>
      <c r="E50">
        <v>275</v>
      </c>
      <c r="F50" s="3" t="s">
        <v>5</v>
      </c>
      <c r="G50">
        <v>421</v>
      </c>
      <c r="H50" s="3" t="s">
        <v>11</v>
      </c>
      <c r="I50">
        <v>421</v>
      </c>
      <c r="J50" t="s">
        <v>11</v>
      </c>
      <c r="K50">
        <v>421</v>
      </c>
      <c r="M50" s="3"/>
      <c r="N50" s="3"/>
      <c r="O50" s="3"/>
      <c r="P50" s="3"/>
      <c r="Q50" s="3"/>
      <c r="R50" s="3"/>
      <c r="S50" s="3"/>
      <c r="T50" s="3"/>
    </row>
    <row r="51" spans="2:20" x14ac:dyDescent="0.2">
      <c r="B51" s="3"/>
      <c r="C51" s="3"/>
      <c r="D51" s="3"/>
      <c r="E51" s="3"/>
      <c r="F51" s="3"/>
      <c r="G51" s="3" t="s">
        <v>17</v>
      </c>
      <c r="H51" s="3"/>
      <c r="I51" t="s">
        <v>17</v>
      </c>
      <c r="J51" t="s">
        <v>12</v>
      </c>
      <c r="K51">
        <v>1300</v>
      </c>
      <c r="M51" s="3"/>
      <c r="N51" s="3"/>
      <c r="O51" s="3"/>
      <c r="P51" s="3"/>
      <c r="Q51" s="3"/>
      <c r="R51" s="3"/>
      <c r="S51" s="3"/>
      <c r="T51" s="3"/>
    </row>
    <row r="52" spans="2:20" x14ac:dyDescent="0.2">
      <c r="B52" s="3"/>
      <c r="C52" s="3"/>
      <c r="D52" s="3"/>
      <c r="E52" s="3"/>
      <c r="F52" s="3"/>
      <c r="G52" s="3" t="s">
        <v>17</v>
      </c>
      <c r="H52" s="3" t="s">
        <v>12</v>
      </c>
      <c r="I52">
        <v>452</v>
      </c>
      <c r="J52" t="s">
        <v>11</v>
      </c>
      <c r="K52">
        <v>452</v>
      </c>
      <c r="M52" s="3"/>
      <c r="N52" s="3"/>
      <c r="O52" s="3"/>
      <c r="P52" s="3"/>
      <c r="Q52" s="3"/>
      <c r="R52" s="3"/>
      <c r="S52" s="3"/>
      <c r="T52" s="3"/>
    </row>
    <row r="53" spans="2:20" x14ac:dyDescent="0.2">
      <c r="B53" s="3"/>
      <c r="C53" s="3"/>
      <c r="D53" s="3"/>
      <c r="E53" s="3"/>
      <c r="F53" s="3"/>
      <c r="G53" s="3" t="s">
        <v>17</v>
      </c>
      <c r="H53" s="3"/>
      <c r="I53" t="s">
        <v>17</v>
      </c>
      <c r="J53" t="s">
        <v>12</v>
      </c>
      <c r="K53">
        <v>1400</v>
      </c>
      <c r="M53" s="3"/>
      <c r="N53" s="3"/>
      <c r="O53" s="3"/>
      <c r="P53" s="3"/>
      <c r="Q53" s="3"/>
      <c r="R53" s="3"/>
      <c r="S53" s="3"/>
      <c r="T53" s="3"/>
    </row>
    <row r="54" spans="2:20" x14ac:dyDescent="0.2">
      <c r="B54" s="3"/>
      <c r="C54" s="3"/>
      <c r="D54" s="3"/>
      <c r="E54" s="3"/>
      <c r="F54" s="3" t="s">
        <v>13</v>
      </c>
      <c r="G54">
        <v>275</v>
      </c>
      <c r="H54" s="3" t="s">
        <v>11</v>
      </c>
      <c r="I54">
        <v>275</v>
      </c>
      <c r="J54" t="s">
        <v>11</v>
      </c>
      <c r="K54">
        <v>275</v>
      </c>
      <c r="M54" s="3"/>
      <c r="N54" s="3"/>
      <c r="O54" s="3"/>
      <c r="P54" s="3"/>
      <c r="Q54" s="3"/>
      <c r="R54" s="3"/>
      <c r="S54" s="3"/>
      <c r="T54" s="3"/>
    </row>
    <row r="55" spans="2:20" x14ac:dyDescent="0.2">
      <c r="B55" s="3"/>
      <c r="C55" s="3"/>
      <c r="D55" s="3"/>
      <c r="E55" s="3"/>
      <c r="F55" s="3"/>
      <c r="G55" s="3" t="s">
        <v>17</v>
      </c>
      <c r="H55" s="3"/>
      <c r="I55" t="s">
        <v>17</v>
      </c>
      <c r="J55" t="s">
        <v>12</v>
      </c>
      <c r="K55">
        <v>864</v>
      </c>
      <c r="M55" s="3"/>
      <c r="N55" s="3"/>
      <c r="O55" s="3"/>
      <c r="P55" s="3"/>
      <c r="Q55" s="3"/>
      <c r="R55" s="3"/>
      <c r="S55" s="3"/>
      <c r="T55" s="3"/>
    </row>
    <row r="56" spans="2:20" x14ac:dyDescent="0.2">
      <c r="B56" s="3"/>
      <c r="C56" s="3"/>
      <c r="D56" s="3"/>
      <c r="E56" s="3"/>
      <c r="F56" s="3"/>
      <c r="G56" s="3" t="s">
        <v>17</v>
      </c>
      <c r="H56" s="3" t="s">
        <v>12</v>
      </c>
      <c r="I56">
        <v>297</v>
      </c>
      <c r="J56" t="s">
        <v>11</v>
      </c>
      <c r="K56">
        <v>297</v>
      </c>
      <c r="M56" s="3"/>
      <c r="N56" s="3"/>
      <c r="O56" s="3"/>
      <c r="P56" s="3"/>
      <c r="Q56" s="3"/>
      <c r="R56" s="3"/>
      <c r="S56" s="3"/>
      <c r="T56" s="3"/>
    </row>
    <row r="57" spans="2:20" x14ac:dyDescent="0.2">
      <c r="B57" s="3"/>
      <c r="C57" s="3"/>
      <c r="D57" s="3"/>
      <c r="E57" s="3"/>
      <c r="F57" s="3"/>
      <c r="G57" s="3" t="s">
        <v>17</v>
      </c>
      <c r="H57" s="3"/>
      <c r="I57" t="s">
        <v>17</v>
      </c>
      <c r="J57" t="s">
        <v>12</v>
      </c>
      <c r="K57">
        <v>930</v>
      </c>
      <c r="M57" s="3"/>
      <c r="N57" s="3"/>
      <c r="O57" s="3"/>
      <c r="P57" s="3"/>
      <c r="Q57" s="3"/>
      <c r="R57" s="3"/>
      <c r="S57" s="3"/>
      <c r="T57" s="3"/>
    </row>
    <row r="58" spans="2:20" x14ac:dyDescent="0.2">
      <c r="B58" s="3"/>
      <c r="C58" s="3"/>
      <c r="D58" s="3"/>
      <c r="E58" s="3"/>
      <c r="F58" s="3" t="s">
        <v>14</v>
      </c>
      <c r="G58" s="3">
        <v>264</v>
      </c>
      <c r="H58" s="3" t="s">
        <v>11</v>
      </c>
      <c r="I58">
        <v>264</v>
      </c>
      <c r="J58" t="s">
        <v>11</v>
      </c>
      <c r="K58">
        <v>264</v>
      </c>
      <c r="M58" s="3"/>
      <c r="N58" s="3"/>
      <c r="O58" s="3"/>
      <c r="P58" s="3"/>
      <c r="Q58" s="3"/>
      <c r="R58" s="3"/>
      <c r="S58" s="3"/>
      <c r="T58" s="3"/>
    </row>
    <row r="59" spans="2:20" x14ac:dyDescent="0.2">
      <c r="B59" s="3"/>
      <c r="C59" s="3"/>
      <c r="D59" s="3"/>
      <c r="E59" s="3"/>
      <c r="F59" s="3"/>
      <c r="G59" s="3" t="s">
        <v>17</v>
      </c>
      <c r="H59" s="3"/>
      <c r="I59" t="s">
        <v>17</v>
      </c>
      <c r="J59" t="s">
        <v>12</v>
      </c>
      <c r="K59">
        <v>831</v>
      </c>
      <c r="M59" s="3"/>
      <c r="N59" s="3"/>
      <c r="O59" s="3"/>
      <c r="P59" s="3"/>
      <c r="Q59" s="3"/>
      <c r="R59" s="3"/>
      <c r="S59" s="3"/>
      <c r="T59" s="3"/>
    </row>
    <row r="60" spans="2:20" x14ac:dyDescent="0.2">
      <c r="B60" s="3"/>
      <c r="C60" s="3"/>
      <c r="D60" s="3"/>
      <c r="E60" s="3"/>
      <c r="F60" s="3"/>
      <c r="G60" s="3" t="s">
        <v>17</v>
      </c>
      <c r="H60" s="3" t="s">
        <v>12</v>
      </c>
      <c r="I60">
        <v>284</v>
      </c>
      <c r="J60" t="s">
        <v>11</v>
      </c>
      <c r="K60">
        <v>284</v>
      </c>
      <c r="M60" s="3"/>
      <c r="N60" s="3"/>
      <c r="O60" s="3"/>
      <c r="P60" s="3"/>
      <c r="Q60" s="3"/>
      <c r="R60" s="3"/>
      <c r="S60" s="3"/>
      <c r="T60" s="3"/>
    </row>
    <row r="61" spans="2:20" x14ac:dyDescent="0.2">
      <c r="B61" s="3"/>
      <c r="C61" s="3"/>
      <c r="D61" s="3"/>
      <c r="E61" s="3"/>
      <c r="F61" s="3"/>
      <c r="G61" s="3" t="s">
        <v>17</v>
      </c>
      <c r="H61" s="3"/>
      <c r="I61" t="s">
        <v>17</v>
      </c>
      <c r="J61" t="s">
        <v>12</v>
      </c>
      <c r="K61">
        <v>894</v>
      </c>
      <c r="M61" s="3"/>
      <c r="N61" s="3"/>
      <c r="O61" s="3"/>
      <c r="P61" s="3"/>
      <c r="Q61" s="3"/>
      <c r="R61" s="3"/>
      <c r="S61" s="3"/>
      <c r="T61" s="3"/>
    </row>
    <row r="62" spans="2:20" x14ac:dyDescent="0.2">
      <c r="B62" s="3"/>
      <c r="C62" s="3"/>
      <c r="D62" s="3" t="s">
        <v>7</v>
      </c>
      <c r="E62" s="3">
        <v>223</v>
      </c>
      <c r="F62" s="3" t="s">
        <v>5</v>
      </c>
      <c r="G62" s="3">
        <v>409</v>
      </c>
      <c r="H62" s="3" t="s">
        <v>11</v>
      </c>
      <c r="I62">
        <v>409</v>
      </c>
      <c r="J62" t="s">
        <v>11</v>
      </c>
      <c r="K62">
        <v>409</v>
      </c>
      <c r="M62" s="3"/>
      <c r="N62" s="3"/>
      <c r="O62" s="3"/>
      <c r="P62" s="3"/>
      <c r="Q62" s="3"/>
      <c r="R62" s="3"/>
      <c r="S62" s="3"/>
      <c r="T62" s="3"/>
    </row>
    <row r="63" spans="2:20" x14ac:dyDescent="0.2">
      <c r="B63" s="3"/>
      <c r="C63" s="3"/>
      <c r="D63" s="3"/>
      <c r="E63" s="3"/>
      <c r="F63" s="3"/>
      <c r="G63" s="3" t="s">
        <v>17</v>
      </c>
      <c r="H63" s="3"/>
      <c r="I63" t="s">
        <v>17</v>
      </c>
      <c r="J63" t="s">
        <v>12</v>
      </c>
      <c r="K63">
        <v>1270</v>
      </c>
      <c r="M63" s="3"/>
      <c r="N63" s="3"/>
      <c r="O63" s="3"/>
      <c r="P63" s="3"/>
      <c r="Q63" s="3"/>
      <c r="R63" s="3"/>
      <c r="S63" s="3"/>
      <c r="T63" s="3"/>
    </row>
    <row r="64" spans="2:20" x14ac:dyDescent="0.2">
      <c r="B64" s="3"/>
      <c r="C64" s="3"/>
      <c r="D64" s="3"/>
      <c r="E64" s="3"/>
      <c r="F64" s="3"/>
      <c r="G64" s="3" t="s">
        <v>17</v>
      </c>
      <c r="H64" s="3" t="s">
        <v>12</v>
      </c>
      <c r="I64">
        <v>440</v>
      </c>
      <c r="J64" t="s">
        <v>11</v>
      </c>
      <c r="K64">
        <v>440</v>
      </c>
      <c r="M64" s="3"/>
      <c r="N64" s="3"/>
      <c r="O64" s="3"/>
      <c r="P64" s="3"/>
      <c r="Q64" s="3"/>
      <c r="R64" s="3"/>
      <c r="S64" s="3"/>
      <c r="T64" s="3"/>
    </row>
    <row r="65" spans="2:20" x14ac:dyDescent="0.2">
      <c r="B65" s="3"/>
      <c r="C65" s="3"/>
      <c r="D65" s="3"/>
      <c r="E65" s="3"/>
      <c r="F65" s="3"/>
      <c r="G65" s="3" t="s">
        <v>17</v>
      </c>
      <c r="H65" s="3"/>
      <c r="I65" t="s">
        <v>17</v>
      </c>
      <c r="J65" t="s">
        <v>12</v>
      </c>
      <c r="K65">
        <v>1360</v>
      </c>
      <c r="M65" s="3"/>
      <c r="N65" s="3"/>
      <c r="O65" s="3"/>
      <c r="P65" s="3"/>
      <c r="Q65" s="3"/>
      <c r="R65" s="3"/>
      <c r="S65" s="3"/>
      <c r="T65" s="3"/>
    </row>
    <row r="66" spans="2:20" x14ac:dyDescent="0.2">
      <c r="B66" s="3"/>
      <c r="C66" s="3"/>
      <c r="D66" s="3"/>
      <c r="E66" s="3"/>
      <c r="F66" s="3" t="s">
        <v>13</v>
      </c>
      <c r="G66" s="3">
        <v>223</v>
      </c>
      <c r="H66" s="3" t="s">
        <v>11</v>
      </c>
      <c r="I66">
        <v>223</v>
      </c>
      <c r="J66" t="s">
        <v>11</v>
      </c>
      <c r="K66">
        <v>223</v>
      </c>
      <c r="M66" s="3"/>
      <c r="N66" s="3"/>
      <c r="O66" s="3"/>
      <c r="P66" s="3"/>
      <c r="Q66" s="3"/>
      <c r="R66" s="3"/>
      <c r="S66" s="3"/>
      <c r="T66" s="3"/>
    </row>
    <row r="67" spans="2:20" x14ac:dyDescent="0.2">
      <c r="B67" s="3"/>
      <c r="C67" s="3"/>
      <c r="D67" s="3"/>
      <c r="E67" s="3"/>
      <c r="F67" s="3"/>
      <c r="G67" s="3" t="s">
        <v>17</v>
      </c>
      <c r="H67" s="3"/>
      <c r="I67" t="s">
        <v>17</v>
      </c>
      <c r="J67" t="s">
        <v>12</v>
      </c>
      <c r="K67">
        <v>705</v>
      </c>
      <c r="M67" s="3"/>
      <c r="N67" s="3"/>
      <c r="O67" s="3"/>
      <c r="P67" s="3"/>
      <c r="Q67" s="3"/>
      <c r="R67" s="3"/>
      <c r="S67" s="3"/>
      <c r="T67" s="3"/>
    </row>
    <row r="68" spans="2:20" x14ac:dyDescent="0.2">
      <c r="B68" s="3"/>
      <c r="C68" s="3"/>
      <c r="D68" s="3"/>
      <c r="E68" s="3"/>
      <c r="F68" s="3"/>
      <c r="G68" s="3" t="s">
        <v>17</v>
      </c>
      <c r="H68" s="3" t="s">
        <v>12</v>
      </c>
      <c r="I68">
        <v>240</v>
      </c>
      <c r="J68" t="s">
        <v>11</v>
      </c>
      <c r="K68">
        <v>240</v>
      </c>
      <c r="M68" s="3"/>
      <c r="N68" s="3"/>
      <c r="O68" s="3"/>
      <c r="P68" s="3"/>
      <c r="Q68" s="3"/>
      <c r="R68" s="3"/>
      <c r="S68" s="3"/>
      <c r="T68" s="3"/>
    </row>
    <row r="69" spans="2:20" x14ac:dyDescent="0.2">
      <c r="B69" s="3"/>
      <c r="C69" s="3"/>
      <c r="D69" s="3"/>
      <c r="E69" s="3"/>
      <c r="F69" s="3"/>
      <c r="G69" s="3" t="s">
        <v>17</v>
      </c>
      <c r="H69" s="3"/>
      <c r="I69" t="s">
        <v>17</v>
      </c>
      <c r="J69" t="s">
        <v>12</v>
      </c>
      <c r="K69">
        <v>758</v>
      </c>
      <c r="M69" s="3"/>
      <c r="N69" s="3"/>
      <c r="O69" s="3"/>
      <c r="P69" s="3"/>
      <c r="Q69" s="3"/>
      <c r="R69" s="3"/>
      <c r="S69" s="3"/>
      <c r="T69" s="3"/>
    </row>
    <row r="70" spans="2:20" x14ac:dyDescent="0.2">
      <c r="B70" s="3"/>
      <c r="C70" s="3"/>
      <c r="D70" s="3"/>
      <c r="E70" s="3"/>
      <c r="F70" s="3" t="s">
        <v>14</v>
      </c>
      <c r="G70" s="3">
        <v>226</v>
      </c>
      <c r="H70" s="3" t="s">
        <v>11</v>
      </c>
      <c r="I70">
        <v>226</v>
      </c>
      <c r="J70" t="s">
        <v>11</v>
      </c>
      <c r="K70">
        <v>226</v>
      </c>
      <c r="M70" s="3"/>
      <c r="N70" s="3"/>
      <c r="O70" s="3"/>
      <c r="P70" s="3"/>
      <c r="Q70" s="3"/>
      <c r="R70" s="3"/>
      <c r="S70" s="3"/>
      <c r="T70" s="3"/>
    </row>
    <row r="71" spans="2:20" x14ac:dyDescent="0.2">
      <c r="B71" s="3"/>
      <c r="C71" s="3"/>
      <c r="D71" s="3"/>
      <c r="E71" s="3"/>
      <c r="F71" s="3"/>
      <c r="G71" s="3" t="s">
        <v>17</v>
      </c>
      <c r="H71" s="3"/>
      <c r="I71" t="s">
        <v>17</v>
      </c>
      <c r="J71" t="s">
        <v>12</v>
      </c>
      <c r="K71">
        <v>712</v>
      </c>
      <c r="M71" s="3"/>
      <c r="N71" s="3"/>
      <c r="O71" s="3"/>
      <c r="P71" s="3"/>
      <c r="Q71" s="3"/>
      <c r="R71" s="3"/>
      <c r="S71" s="3"/>
      <c r="T71" s="3"/>
    </row>
    <row r="72" spans="2:20" x14ac:dyDescent="0.2">
      <c r="B72" s="3"/>
      <c r="C72" s="3"/>
      <c r="D72" s="3"/>
      <c r="E72" s="3"/>
      <c r="F72" s="3"/>
      <c r="G72" s="3" t="s">
        <v>17</v>
      </c>
      <c r="H72" s="3" t="s">
        <v>12</v>
      </c>
      <c r="I72">
        <v>243</v>
      </c>
      <c r="J72" t="s">
        <v>11</v>
      </c>
      <c r="K72">
        <v>243</v>
      </c>
      <c r="M72" s="3"/>
      <c r="N72" s="3"/>
      <c r="O72" s="3"/>
      <c r="P72" s="3"/>
      <c r="Q72" s="3"/>
      <c r="R72" s="3"/>
      <c r="S72" s="3"/>
      <c r="T72" s="3"/>
    </row>
    <row r="73" spans="2:20" x14ac:dyDescent="0.2">
      <c r="B73" s="3"/>
      <c r="C73" s="3"/>
      <c r="D73" s="3"/>
      <c r="E73" s="3"/>
      <c r="F73" s="3"/>
      <c r="G73" s="3" t="s">
        <v>17</v>
      </c>
      <c r="H73" s="3"/>
      <c r="I73" t="s">
        <v>17</v>
      </c>
      <c r="J73" t="s">
        <v>12</v>
      </c>
      <c r="K73">
        <v>765</v>
      </c>
      <c r="M73" s="3"/>
      <c r="N73" s="3"/>
      <c r="O73" s="3"/>
      <c r="P73" s="3"/>
      <c r="Q73" s="3"/>
      <c r="R73" s="3"/>
      <c r="S73" s="3"/>
      <c r="T73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20B64-3F36-134B-A295-E0021C44076F}">
  <dimension ref="A1:J73"/>
  <sheetViews>
    <sheetView zoomScaleNormal="100" workbookViewId="0">
      <selection activeCell="A4" sqref="A4"/>
    </sheetView>
  </sheetViews>
  <sheetFormatPr baseColWidth="10" defaultRowHeight="16" x14ac:dyDescent="0.2"/>
  <sheetData>
    <row r="1" spans="1:10" x14ac:dyDescent="0.2">
      <c r="A1" t="s">
        <v>16</v>
      </c>
    </row>
    <row r="2" spans="1:10" x14ac:dyDescent="0.2">
      <c r="A2">
        <f>Black_dr!C2-White_dr!C2</f>
        <v>18</v>
      </c>
      <c r="B2">
        <f>A2</f>
        <v>18</v>
      </c>
      <c r="C2">
        <f>Black_dr!E2-White_dr!E2</f>
        <v>18</v>
      </c>
      <c r="D2">
        <f>C2</f>
        <v>18</v>
      </c>
      <c r="E2">
        <f>Black_dr!G2-White_dr!G2</f>
        <v>8</v>
      </c>
      <c r="F2">
        <f>E2</f>
        <v>8</v>
      </c>
      <c r="G2">
        <f>Black_dr!I2-White_dr!I2</f>
        <v>8</v>
      </c>
      <c r="H2">
        <f>G2</f>
        <v>8</v>
      </c>
      <c r="I2">
        <f>Black_dr!K2-White_dr!K2</f>
        <v>8</v>
      </c>
      <c r="J2">
        <f>I2</f>
        <v>8</v>
      </c>
    </row>
    <row r="3" spans="1:10" x14ac:dyDescent="0.2">
      <c r="A3">
        <f>Black_dr!C3-White_dr!C3</f>
        <v>0</v>
      </c>
      <c r="B3">
        <f>IF(A3=0,B2,A3)</f>
        <v>18</v>
      </c>
      <c r="C3">
        <f>Black_dr!E3-White_dr!E3</f>
        <v>0</v>
      </c>
      <c r="D3">
        <f>IF(C3=0,D2,C3)</f>
        <v>18</v>
      </c>
      <c r="E3" t="e">
        <f>Black_dr!G3-White_dr!G3</f>
        <v>#VALUE!</v>
      </c>
      <c r="F3" t="e">
        <f>IF(E3=0,F2,E3)</f>
        <v>#VALUE!</v>
      </c>
      <c r="G3" t="e">
        <f>Black_dr!I3-White_dr!I3</f>
        <v>#VALUE!</v>
      </c>
      <c r="H3" t="e">
        <f>IF(G3=0,H2,G3)</f>
        <v>#VALUE!</v>
      </c>
      <c r="I3">
        <f>Black_dr!K3-White_dr!K3</f>
        <v>842</v>
      </c>
      <c r="J3">
        <f>IF(I3=0,J2,I3)</f>
        <v>842</v>
      </c>
    </row>
    <row r="4" spans="1:10" x14ac:dyDescent="0.2">
      <c r="A4">
        <f>Black_dr!C4-White_dr!C4</f>
        <v>0</v>
      </c>
      <c r="B4">
        <f t="shared" ref="B4:B67" si="0">IF(A4=0,B3,A4)</f>
        <v>18</v>
      </c>
      <c r="C4">
        <f>Black_dr!E4-White_dr!E4</f>
        <v>0</v>
      </c>
      <c r="D4">
        <f t="shared" ref="D4:D67" si="1">IF(C4=0,D3,C4)</f>
        <v>18</v>
      </c>
      <c r="E4" t="e">
        <f>Black_dr!G4-White_dr!G4</f>
        <v>#VALUE!</v>
      </c>
      <c r="F4" t="e">
        <f t="shared" ref="F4:F67" si="2">IF(E4=0,F3,E4)</f>
        <v>#VALUE!</v>
      </c>
      <c r="G4">
        <f>Black_dr!I4-White_dr!I4</f>
        <v>26</v>
      </c>
      <c r="H4">
        <f t="shared" ref="H4:J67" si="3">IF(G4=0,H3,G4)</f>
        <v>26</v>
      </c>
      <c r="I4">
        <f>Black_dr!K4-White_dr!K4</f>
        <v>26</v>
      </c>
      <c r="J4">
        <f t="shared" si="3"/>
        <v>26</v>
      </c>
    </row>
    <row r="5" spans="1:10" x14ac:dyDescent="0.2">
      <c r="A5">
        <f>Black_dr!C5-White_dr!C5</f>
        <v>0</v>
      </c>
      <c r="B5">
        <f t="shared" si="0"/>
        <v>18</v>
      </c>
      <c r="C5">
        <f>Black_dr!E5-White_dr!E5</f>
        <v>0</v>
      </c>
      <c r="D5">
        <f t="shared" si="1"/>
        <v>18</v>
      </c>
      <c r="E5" t="e">
        <f>Black_dr!G5-White_dr!G5</f>
        <v>#VALUE!</v>
      </c>
      <c r="F5" t="e">
        <f t="shared" si="2"/>
        <v>#VALUE!</v>
      </c>
      <c r="G5" t="e">
        <f>Black_dr!I5-White_dr!I5</f>
        <v>#VALUE!</v>
      </c>
      <c r="H5" t="e">
        <f t="shared" si="3"/>
        <v>#VALUE!</v>
      </c>
      <c r="I5">
        <f>Black_dr!K5-White_dr!K5</f>
        <v>942</v>
      </c>
      <c r="J5">
        <f t="shared" si="3"/>
        <v>942</v>
      </c>
    </row>
    <row r="6" spans="1:10" x14ac:dyDescent="0.2">
      <c r="A6">
        <f>Black_dr!C6-White_dr!C6</f>
        <v>0</v>
      </c>
      <c r="B6">
        <f t="shared" si="0"/>
        <v>18</v>
      </c>
      <c r="C6">
        <f>Black_dr!E6-White_dr!E6</f>
        <v>0</v>
      </c>
      <c r="D6">
        <f t="shared" si="1"/>
        <v>18</v>
      </c>
      <c r="E6">
        <f>Black_dr!G6-White_dr!G6</f>
        <v>18</v>
      </c>
      <c r="F6">
        <f t="shared" si="2"/>
        <v>18</v>
      </c>
      <c r="G6">
        <f>Black_dr!I6-White_dr!I6</f>
        <v>18</v>
      </c>
      <c r="H6">
        <f t="shared" si="3"/>
        <v>18</v>
      </c>
      <c r="I6">
        <f>Black_dr!K6-White_dr!K6</f>
        <v>18</v>
      </c>
      <c r="J6">
        <f t="shared" si="3"/>
        <v>18</v>
      </c>
    </row>
    <row r="7" spans="1:10" x14ac:dyDescent="0.2">
      <c r="A7">
        <f>Black_dr!C7-White_dr!C7</f>
        <v>0</v>
      </c>
      <c r="B7">
        <f t="shared" si="0"/>
        <v>18</v>
      </c>
      <c r="C7">
        <f>Black_dr!E7-White_dr!E7</f>
        <v>0</v>
      </c>
      <c r="D7">
        <f t="shared" si="1"/>
        <v>18</v>
      </c>
      <c r="E7" t="e">
        <f>Black_dr!G7-White_dr!G7</f>
        <v>#VALUE!</v>
      </c>
      <c r="F7" t="e">
        <f t="shared" si="2"/>
        <v>#VALUE!</v>
      </c>
      <c r="G7" t="e">
        <f>Black_dr!I7-White_dr!I7</f>
        <v>#VALUE!</v>
      </c>
      <c r="H7" t="e">
        <f t="shared" si="3"/>
        <v>#VALUE!</v>
      </c>
      <c r="I7">
        <f>Black_dr!K7-White_dr!K7</f>
        <v>580</v>
      </c>
      <c r="J7">
        <f t="shared" si="3"/>
        <v>580</v>
      </c>
    </row>
    <row r="8" spans="1:10" x14ac:dyDescent="0.2">
      <c r="A8">
        <f>Black_dr!C8-White_dr!C8</f>
        <v>0</v>
      </c>
      <c r="B8">
        <f t="shared" si="0"/>
        <v>18</v>
      </c>
      <c r="C8">
        <f>Black_dr!E8-White_dr!E8</f>
        <v>0</v>
      </c>
      <c r="D8">
        <f t="shared" si="1"/>
        <v>18</v>
      </c>
      <c r="E8" t="e">
        <f>Black_dr!G8-White_dr!G8</f>
        <v>#VALUE!</v>
      </c>
      <c r="F8" t="e">
        <f t="shared" si="2"/>
        <v>#VALUE!</v>
      </c>
      <c r="G8">
        <f>Black_dr!I8-White_dr!I8</f>
        <v>31</v>
      </c>
      <c r="H8">
        <f t="shared" si="3"/>
        <v>31</v>
      </c>
      <c r="I8">
        <f>Black_dr!K8-White_dr!K8</f>
        <v>31</v>
      </c>
      <c r="J8">
        <f t="shared" si="3"/>
        <v>31</v>
      </c>
    </row>
    <row r="9" spans="1:10" x14ac:dyDescent="0.2">
      <c r="A9">
        <f>Black_dr!C9-White_dr!C9</f>
        <v>0</v>
      </c>
      <c r="B9">
        <f t="shared" si="0"/>
        <v>18</v>
      </c>
      <c r="C9">
        <f>Black_dr!E9-White_dr!E9</f>
        <v>0</v>
      </c>
      <c r="D9">
        <f t="shared" si="1"/>
        <v>18</v>
      </c>
      <c r="E9" t="e">
        <f>Black_dr!G9-White_dr!G9</f>
        <v>#VALUE!</v>
      </c>
      <c r="F9" t="e">
        <f t="shared" si="2"/>
        <v>#VALUE!</v>
      </c>
      <c r="G9" t="e">
        <f>Black_dr!I9-White_dr!I9</f>
        <v>#VALUE!</v>
      </c>
      <c r="H9" t="e">
        <f t="shared" si="3"/>
        <v>#VALUE!</v>
      </c>
      <c r="I9">
        <f>Black_dr!K9-White_dr!K9</f>
        <v>644</v>
      </c>
      <c r="J9">
        <f t="shared" si="3"/>
        <v>644</v>
      </c>
    </row>
    <row r="10" spans="1:10" x14ac:dyDescent="0.2">
      <c r="A10">
        <f>Black_dr!C10-White_dr!C10</f>
        <v>0</v>
      </c>
      <c r="B10">
        <f t="shared" si="0"/>
        <v>18</v>
      </c>
      <c r="C10">
        <f>Black_dr!E10-White_dr!E10</f>
        <v>0</v>
      </c>
      <c r="D10">
        <f t="shared" si="1"/>
        <v>18</v>
      </c>
      <c r="E10">
        <f>Black_dr!G10-White_dr!G10</f>
        <v>16</v>
      </c>
      <c r="F10">
        <f t="shared" si="2"/>
        <v>16</v>
      </c>
      <c r="G10">
        <f>Black_dr!I10-White_dr!I10</f>
        <v>16</v>
      </c>
      <c r="H10">
        <f t="shared" si="3"/>
        <v>16</v>
      </c>
      <c r="I10">
        <f>Black_dr!K10-White_dr!K10</f>
        <v>16</v>
      </c>
      <c r="J10">
        <f t="shared" si="3"/>
        <v>16</v>
      </c>
    </row>
    <row r="11" spans="1:10" x14ac:dyDescent="0.2">
      <c r="A11">
        <f>Black_dr!C11-White_dr!C11</f>
        <v>0</v>
      </c>
      <c r="B11">
        <f t="shared" si="0"/>
        <v>18</v>
      </c>
      <c r="C11">
        <f>Black_dr!E11-White_dr!E11</f>
        <v>0</v>
      </c>
      <c r="D11">
        <f t="shared" si="1"/>
        <v>18</v>
      </c>
      <c r="E11" t="e">
        <f>Black_dr!G11-White_dr!G11</f>
        <v>#VALUE!</v>
      </c>
      <c r="F11" t="e">
        <f t="shared" si="2"/>
        <v>#VALUE!</v>
      </c>
      <c r="G11" t="e">
        <f>Black_dr!I11-White_dr!I11</f>
        <v>#VALUE!</v>
      </c>
      <c r="H11" t="e">
        <f t="shared" si="3"/>
        <v>#VALUE!</v>
      </c>
      <c r="I11">
        <f>Black_dr!K11-White_dr!K11</f>
        <v>555</v>
      </c>
      <c r="J11">
        <f t="shared" si="3"/>
        <v>555</v>
      </c>
    </row>
    <row r="12" spans="1:10" x14ac:dyDescent="0.2">
      <c r="A12">
        <f>Black_dr!C12-White_dr!C12</f>
        <v>0</v>
      </c>
      <c r="B12">
        <f t="shared" si="0"/>
        <v>18</v>
      </c>
      <c r="C12">
        <f>Black_dr!E12-White_dr!E12</f>
        <v>0</v>
      </c>
      <c r="D12">
        <f t="shared" si="1"/>
        <v>18</v>
      </c>
      <c r="E12" t="e">
        <f>Black_dr!G12-White_dr!G12</f>
        <v>#VALUE!</v>
      </c>
      <c r="F12" t="e">
        <f t="shared" si="2"/>
        <v>#VALUE!</v>
      </c>
      <c r="G12">
        <f>Black_dr!I12-White_dr!I12</f>
        <v>27</v>
      </c>
      <c r="H12">
        <f t="shared" si="3"/>
        <v>27</v>
      </c>
      <c r="I12">
        <f>Black_dr!K12-White_dr!K12</f>
        <v>27</v>
      </c>
      <c r="J12">
        <f t="shared" si="3"/>
        <v>27</v>
      </c>
    </row>
    <row r="13" spans="1:10" x14ac:dyDescent="0.2">
      <c r="A13">
        <f>Black_dr!C13-White_dr!C13</f>
        <v>0</v>
      </c>
      <c r="B13">
        <f t="shared" si="0"/>
        <v>18</v>
      </c>
      <c r="C13">
        <f>Black_dr!E13-White_dr!E13</f>
        <v>0</v>
      </c>
      <c r="D13">
        <f t="shared" si="1"/>
        <v>18</v>
      </c>
      <c r="E13" t="e">
        <f>Black_dr!G13-White_dr!G13</f>
        <v>#VALUE!</v>
      </c>
      <c r="F13" t="e">
        <f t="shared" si="2"/>
        <v>#VALUE!</v>
      </c>
      <c r="G13" t="e">
        <f>Black_dr!I13-White_dr!I13</f>
        <v>#VALUE!</v>
      </c>
      <c r="H13" t="e">
        <f t="shared" si="3"/>
        <v>#VALUE!</v>
      </c>
      <c r="I13">
        <f>Black_dr!K13-White_dr!K13</f>
        <v>616</v>
      </c>
      <c r="J13">
        <f t="shared" si="3"/>
        <v>616</v>
      </c>
    </row>
    <row r="14" spans="1:10" x14ac:dyDescent="0.2">
      <c r="A14">
        <f>Black_dr!C14-White_dr!C14</f>
        <v>0</v>
      </c>
      <c r="B14">
        <f t="shared" si="0"/>
        <v>18</v>
      </c>
      <c r="C14">
        <f>Black_dr!E14-White_dr!E14</f>
        <v>-3</v>
      </c>
      <c r="D14">
        <f t="shared" si="1"/>
        <v>-3</v>
      </c>
      <c r="E14">
        <f>Black_dr!G14-White_dr!G14</f>
        <v>-2</v>
      </c>
      <c r="F14">
        <f t="shared" si="2"/>
        <v>-2</v>
      </c>
      <c r="G14">
        <f>Black_dr!I14-White_dr!I14</f>
        <v>-2</v>
      </c>
      <c r="H14">
        <f t="shared" si="3"/>
        <v>-2</v>
      </c>
      <c r="I14">
        <f>Black_dr!K14-White_dr!K14</f>
        <v>-2</v>
      </c>
      <c r="J14">
        <f t="shared" si="3"/>
        <v>-2</v>
      </c>
    </row>
    <row r="15" spans="1:10" x14ac:dyDescent="0.2">
      <c r="A15">
        <f>Black_dr!C15-White_dr!C15</f>
        <v>0</v>
      </c>
      <c r="B15">
        <f t="shared" si="0"/>
        <v>18</v>
      </c>
      <c r="C15">
        <f>Black_dr!E15-White_dr!E15</f>
        <v>0</v>
      </c>
      <c r="D15">
        <f t="shared" si="1"/>
        <v>-3</v>
      </c>
      <c r="E15" t="e">
        <f>Black_dr!G15-White_dr!G15</f>
        <v>#VALUE!</v>
      </c>
      <c r="F15" t="e">
        <f t="shared" si="2"/>
        <v>#VALUE!</v>
      </c>
      <c r="G15" t="e">
        <f>Black_dr!I15-White_dr!I15</f>
        <v>#VALUE!</v>
      </c>
      <c r="H15" t="e">
        <f t="shared" si="3"/>
        <v>#VALUE!</v>
      </c>
      <c r="I15">
        <f>Black_dr!K15-White_dr!K15</f>
        <v>813</v>
      </c>
      <c r="J15">
        <f t="shared" si="3"/>
        <v>813</v>
      </c>
    </row>
    <row r="16" spans="1:10" x14ac:dyDescent="0.2">
      <c r="A16">
        <f>Black_dr!C16-White_dr!C16</f>
        <v>0</v>
      </c>
      <c r="B16">
        <f t="shared" si="0"/>
        <v>18</v>
      </c>
      <c r="C16">
        <f>Black_dr!E16-White_dr!E16</f>
        <v>0</v>
      </c>
      <c r="D16">
        <f t="shared" si="1"/>
        <v>-3</v>
      </c>
      <c r="E16" t="e">
        <f>Black_dr!G16-White_dr!G16</f>
        <v>#VALUE!</v>
      </c>
      <c r="F16" t="e">
        <f t="shared" si="2"/>
        <v>#VALUE!</v>
      </c>
      <c r="G16">
        <f>Black_dr!I16-White_dr!I16</f>
        <v>15</v>
      </c>
      <c r="H16">
        <f t="shared" si="3"/>
        <v>15</v>
      </c>
      <c r="I16">
        <f>Black_dr!K16-White_dr!K16</f>
        <v>15</v>
      </c>
      <c r="J16">
        <f t="shared" si="3"/>
        <v>15</v>
      </c>
    </row>
    <row r="17" spans="1:10" x14ac:dyDescent="0.2">
      <c r="A17">
        <f>Black_dr!C17-White_dr!C17</f>
        <v>0</v>
      </c>
      <c r="B17">
        <f t="shared" si="0"/>
        <v>18</v>
      </c>
      <c r="C17">
        <f>Black_dr!E17-White_dr!E17</f>
        <v>0</v>
      </c>
      <c r="D17">
        <f t="shared" si="1"/>
        <v>-3</v>
      </c>
      <c r="E17" t="e">
        <f>Black_dr!G17-White_dr!G17</f>
        <v>#VALUE!</v>
      </c>
      <c r="F17" t="e">
        <f t="shared" si="2"/>
        <v>#VALUE!</v>
      </c>
      <c r="G17" t="e">
        <f>Black_dr!I17-White_dr!I17</f>
        <v>#VALUE!</v>
      </c>
      <c r="H17" t="e">
        <f t="shared" si="3"/>
        <v>#VALUE!</v>
      </c>
      <c r="I17">
        <f>Black_dr!K17-White_dr!K17</f>
        <v>903</v>
      </c>
      <c r="J17">
        <f t="shared" si="3"/>
        <v>903</v>
      </c>
    </row>
    <row r="18" spans="1:10" x14ac:dyDescent="0.2">
      <c r="A18">
        <f>Black_dr!C18-White_dr!C18</f>
        <v>0</v>
      </c>
      <c r="B18">
        <f t="shared" si="0"/>
        <v>18</v>
      </c>
      <c r="C18">
        <f>Black_dr!E18-White_dr!E18</f>
        <v>0</v>
      </c>
      <c r="D18">
        <f t="shared" si="1"/>
        <v>-3</v>
      </c>
      <c r="E18">
        <f>Black_dr!G18-White_dr!G18</f>
        <v>-3</v>
      </c>
      <c r="F18">
        <f t="shared" si="2"/>
        <v>-3</v>
      </c>
      <c r="G18">
        <f>Black_dr!I18-White_dr!I18</f>
        <v>-3</v>
      </c>
      <c r="H18">
        <f t="shared" si="3"/>
        <v>-3</v>
      </c>
      <c r="I18">
        <f>Black_dr!K18-White_dr!K18</f>
        <v>-3</v>
      </c>
      <c r="J18">
        <f t="shared" si="3"/>
        <v>-3</v>
      </c>
    </row>
    <row r="19" spans="1:10" x14ac:dyDescent="0.2">
      <c r="A19">
        <f>Black_dr!C19-White_dr!C19</f>
        <v>0</v>
      </c>
      <c r="B19">
        <f t="shared" si="0"/>
        <v>18</v>
      </c>
      <c r="C19">
        <f>Black_dr!E19-White_dr!E19</f>
        <v>0</v>
      </c>
      <c r="D19">
        <f t="shared" si="1"/>
        <v>-3</v>
      </c>
      <c r="E19" t="e">
        <f>Black_dr!G19-White_dr!G19</f>
        <v>#VALUE!</v>
      </c>
      <c r="F19" t="e">
        <f t="shared" si="2"/>
        <v>#VALUE!</v>
      </c>
      <c r="G19" t="e">
        <f>Black_dr!I19-White_dr!I19</f>
        <v>#VALUE!</v>
      </c>
      <c r="H19" t="e">
        <f t="shared" si="3"/>
        <v>#VALUE!</v>
      </c>
      <c r="I19">
        <f>Black_dr!K19-White_dr!K19</f>
        <v>455</v>
      </c>
      <c r="J19">
        <f t="shared" si="3"/>
        <v>455</v>
      </c>
    </row>
    <row r="20" spans="1:10" x14ac:dyDescent="0.2">
      <c r="A20">
        <f>Black_dr!C20-White_dr!C20</f>
        <v>0</v>
      </c>
      <c r="B20">
        <f t="shared" si="0"/>
        <v>18</v>
      </c>
      <c r="C20">
        <f>Black_dr!E20-White_dr!E20</f>
        <v>0</v>
      </c>
      <c r="D20">
        <f t="shared" si="1"/>
        <v>-3</v>
      </c>
      <c r="E20" t="e">
        <f>Black_dr!G20-White_dr!G20</f>
        <v>#VALUE!</v>
      </c>
      <c r="F20" t="e">
        <f t="shared" si="2"/>
        <v>#VALUE!</v>
      </c>
      <c r="G20">
        <f>Black_dr!I20-White_dr!I20</f>
        <v>6</v>
      </c>
      <c r="H20">
        <f t="shared" si="3"/>
        <v>6</v>
      </c>
      <c r="I20">
        <f>Black_dr!K20-White_dr!K20</f>
        <v>6</v>
      </c>
      <c r="J20">
        <f t="shared" si="3"/>
        <v>6</v>
      </c>
    </row>
    <row r="21" spans="1:10" x14ac:dyDescent="0.2">
      <c r="A21">
        <f>Black_dr!C21-White_dr!C21</f>
        <v>0</v>
      </c>
      <c r="B21">
        <f t="shared" si="0"/>
        <v>18</v>
      </c>
      <c r="C21">
        <f>Black_dr!E21-White_dr!E21</f>
        <v>0</v>
      </c>
      <c r="D21">
        <f t="shared" si="1"/>
        <v>-3</v>
      </c>
      <c r="E21" t="e">
        <f>Black_dr!G21-White_dr!G21</f>
        <v>#VALUE!</v>
      </c>
      <c r="F21" t="e">
        <f t="shared" si="2"/>
        <v>#VALUE!</v>
      </c>
      <c r="G21" t="e">
        <f>Black_dr!I21-White_dr!I21</f>
        <v>#VALUE!</v>
      </c>
      <c r="H21" t="e">
        <f t="shared" si="3"/>
        <v>#VALUE!</v>
      </c>
      <c r="I21">
        <f>Black_dr!K21-White_dr!K21</f>
        <v>507</v>
      </c>
      <c r="J21">
        <f t="shared" si="3"/>
        <v>507</v>
      </c>
    </row>
    <row r="22" spans="1:10" x14ac:dyDescent="0.2">
      <c r="A22">
        <f>Black_dr!C22-White_dr!C22</f>
        <v>0</v>
      </c>
      <c r="B22">
        <f t="shared" si="0"/>
        <v>18</v>
      </c>
      <c r="C22">
        <f>Black_dr!E22-White_dr!E22</f>
        <v>0</v>
      </c>
      <c r="D22">
        <f t="shared" si="1"/>
        <v>-3</v>
      </c>
      <c r="E22">
        <f>Black_dr!G22-White_dr!G22</f>
        <v>-8</v>
      </c>
      <c r="F22">
        <f t="shared" si="2"/>
        <v>-8</v>
      </c>
      <c r="G22">
        <f>Black_dr!I22-White_dr!I22</f>
        <v>-8</v>
      </c>
      <c r="H22">
        <f t="shared" si="3"/>
        <v>-8</v>
      </c>
      <c r="I22">
        <f>Black_dr!K22-White_dr!K22</f>
        <v>-8</v>
      </c>
      <c r="J22">
        <f t="shared" si="3"/>
        <v>-8</v>
      </c>
    </row>
    <row r="23" spans="1:10" x14ac:dyDescent="0.2">
      <c r="A23">
        <f>Black_dr!C23-White_dr!C23</f>
        <v>0</v>
      </c>
      <c r="B23">
        <f t="shared" si="0"/>
        <v>18</v>
      </c>
      <c r="C23">
        <f>Black_dr!E23-White_dr!E23</f>
        <v>0</v>
      </c>
      <c r="D23">
        <f t="shared" si="1"/>
        <v>-3</v>
      </c>
      <c r="E23" t="e">
        <f>Black_dr!G23-White_dr!G23</f>
        <v>#VALUE!</v>
      </c>
      <c r="F23" t="e">
        <f t="shared" si="2"/>
        <v>#VALUE!</v>
      </c>
      <c r="G23" t="e">
        <f>Black_dr!I23-White_dr!I23</f>
        <v>#VALUE!</v>
      </c>
      <c r="H23" t="e">
        <f t="shared" si="3"/>
        <v>#VALUE!</v>
      </c>
      <c r="I23">
        <f>Black_dr!K23-White_dr!K23</f>
        <v>453</v>
      </c>
      <c r="J23">
        <f t="shared" si="3"/>
        <v>453</v>
      </c>
    </row>
    <row r="24" spans="1:10" x14ac:dyDescent="0.2">
      <c r="A24">
        <f>Black_dr!C24-White_dr!C24</f>
        <v>0</v>
      </c>
      <c r="B24">
        <f t="shared" si="0"/>
        <v>18</v>
      </c>
      <c r="C24">
        <f>Black_dr!E24-White_dr!E24</f>
        <v>0</v>
      </c>
      <c r="D24">
        <f t="shared" si="1"/>
        <v>-3</v>
      </c>
      <c r="E24" t="e">
        <f>Black_dr!G24-White_dr!G24</f>
        <v>#VALUE!</v>
      </c>
      <c r="F24" t="e">
        <f t="shared" si="2"/>
        <v>#VALUE!</v>
      </c>
      <c r="G24">
        <f>Black_dr!I24-White_dr!I24</f>
        <v>1</v>
      </c>
      <c r="H24">
        <f t="shared" si="3"/>
        <v>1</v>
      </c>
      <c r="I24">
        <f>Black_dr!K24-White_dr!K24</f>
        <v>1</v>
      </c>
      <c r="J24">
        <f t="shared" si="3"/>
        <v>1</v>
      </c>
    </row>
    <row r="25" spans="1:10" x14ac:dyDescent="0.2">
      <c r="A25">
        <f>Black_dr!C25-White_dr!C25</f>
        <v>0</v>
      </c>
      <c r="B25">
        <f t="shared" si="0"/>
        <v>18</v>
      </c>
      <c r="C25">
        <f>Black_dr!E25-White_dr!E25</f>
        <v>0</v>
      </c>
      <c r="D25">
        <f t="shared" si="1"/>
        <v>-3</v>
      </c>
      <c r="E25" t="e">
        <f>Black_dr!G25-White_dr!G25</f>
        <v>#VALUE!</v>
      </c>
      <c r="F25" t="e">
        <f t="shared" si="2"/>
        <v>#VALUE!</v>
      </c>
      <c r="G25" t="e">
        <f>Black_dr!I25-White_dr!I25</f>
        <v>#VALUE!</v>
      </c>
      <c r="H25" t="e">
        <f t="shared" si="3"/>
        <v>#VALUE!</v>
      </c>
      <c r="I25">
        <f>Black_dr!K25-White_dr!K25</f>
        <v>505</v>
      </c>
      <c r="J25">
        <f t="shared" si="3"/>
        <v>505</v>
      </c>
    </row>
    <row r="26" spans="1:10" x14ac:dyDescent="0.2">
      <c r="A26">
        <f>Black_dr!C26-White_dr!C26</f>
        <v>19</v>
      </c>
      <c r="B26">
        <f t="shared" si="0"/>
        <v>19</v>
      </c>
      <c r="C26">
        <f>Black_dr!E26-White_dr!E26</f>
        <v>19</v>
      </c>
      <c r="D26">
        <f t="shared" si="1"/>
        <v>19</v>
      </c>
      <c r="E26">
        <f>Black_dr!G26-White_dr!G26</f>
        <v>10</v>
      </c>
      <c r="F26">
        <f t="shared" si="2"/>
        <v>10</v>
      </c>
      <c r="G26">
        <f>Black_dr!I26-White_dr!I26</f>
        <v>10</v>
      </c>
      <c r="H26">
        <f t="shared" si="3"/>
        <v>10</v>
      </c>
      <c r="I26">
        <f>Black_dr!K26-White_dr!K26</f>
        <v>10</v>
      </c>
      <c r="J26">
        <f t="shared" si="3"/>
        <v>10</v>
      </c>
    </row>
    <row r="27" spans="1:10" x14ac:dyDescent="0.2">
      <c r="A27">
        <f>Black_dr!C27-White_dr!C27</f>
        <v>0</v>
      </c>
      <c r="B27">
        <f t="shared" si="0"/>
        <v>19</v>
      </c>
      <c r="C27">
        <f>Black_dr!E27-White_dr!E27</f>
        <v>0</v>
      </c>
      <c r="D27">
        <f t="shared" si="1"/>
        <v>19</v>
      </c>
      <c r="E27" t="e">
        <f>Black_dr!G27-White_dr!G27</f>
        <v>#VALUE!</v>
      </c>
      <c r="F27" t="e">
        <f t="shared" si="2"/>
        <v>#VALUE!</v>
      </c>
      <c r="G27" t="e">
        <f>Black_dr!I27-White_dr!I27</f>
        <v>#VALUE!</v>
      </c>
      <c r="H27" t="e">
        <f t="shared" si="3"/>
        <v>#VALUE!</v>
      </c>
      <c r="I27">
        <f>Black_dr!K27-White_dr!K27</f>
        <v>826</v>
      </c>
      <c r="J27">
        <f t="shared" si="3"/>
        <v>826</v>
      </c>
    </row>
    <row r="28" spans="1:10" x14ac:dyDescent="0.2">
      <c r="A28">
        <f>Black_dr!C28-White_dr!C28</f>
        <v>0</v>
      </c>
      <c r="B28">
        <f t="shared" si="0"/>
        <v>19</v>
      </c>
      <c r="C28">
        <f>Black_dr!E28-White_dr!E28</f>
        <v>0</v>
      </c>
      <c r="D28">
        <f t="shared" si="1"/>
        <v>19</v>
      </c>
      <c r="E28" t="e">
        <f>Black_dr!G28-White_dr!G28</f>
        <v>#VALUE!</v>
      </c>
      <c r="F28" t="e">
        <f t="shared" si="2"/>
        <v>#VALUE!</v>
      </c>
      <c r="G28">
        <f>Black_dr!I28-White_dr!I28</f>
        <v>35</v>
      </c>
      <c r="H28">
        <f t="shared" si="3"/>
        <v>35</v>
      </c>
      <c r="I28">
        <f>Black_dr!K28-White_dr!K28</f>
        <v>35</v>
      </c>
      <c r="J28">
        <f t="shared" si="3"/>
        <v>35</v>
      </c>
    </row>
    <row r="29" spans="1:10" x14ac:dyDescent="0.2">
      <c r="A29">
        <f>Black_dr!C29-White_dr!C29</f>
        <v>0</v>
      </c>
      <c r="B29">
        <f t="shared" si="0"/>
        <v>19</v>
      </c>
      <c r="C29">
        <f>Black_dr!E29-White_dr!E29</f>
        <v>0</v>
      </c>
      <c r="D29">
        <f t="shared" si="1"/>
        <v>19</v>
      </c>
      <c r="E29" t="e">
        <f>Black_dr!G29-White_dr!G29</f>
        <v>#VALUE!</v>
      </c>
      <c r="F29" t="e">
        <f t="shared" si="2"/>
        <v>#VALUE!</v>
      </c>
      <c r="G29" t="e">
        <f>Black_dr!I29-White_dr!I29</f>
        <v>#VALUE!</v>
      </c>
      <c r="H29" t="e">
        <f t="shared" si="3"/>
        <v>#VALUE!</v>
      </c>
      <c r="I29">
        <f>Black_dr!K29-White_dr!K29</f>
        <v>937</v>
      </c>
      <c r="J29">
        <f t="shared" si="3"/>
        <v>937</v>
      </c>
    </row>
    <row r="30" spans="1:10" x14ac:dyDescent="0.2">
      <c r="A30">
        <f>Black_dr!C30-White_dr!C30</f>
        <v>0</v>
      </c>
      <c r="B30">
        <f t="shared" si="0"/>
        <v>19</v>
      </c>
      <c r="C30">
        <f>Black_dr!E30-White_dr!E30</f>
        <v>0</v>
      </c>
      <c r="D30">
        <f t="shared" si="1"/>
        <v>19</v>
      </c>
      <c r="E30">
        <f>Black_dr!G30-White_dr!G30</f>
        <v>19</v>
      </c>
      <c r="F30">
        <f t="shared" si="2"/>
        <v>19</v>
      </c>
      <c r="G30">
        <f>Black_dr!I30-White_dr!I30</f>
        <v>19</v>
      </c>
      <c r="H30">
        <f t="shared" si="3"/>
        <v>19</v>
      </c>
      <c r="I30">
        <f>Black_dr!K30-White_dr!K30</f>
        <v>19</v>
      </c>
      <c r="J30">
        <f t="shared" si="3"/>
        <v>19</v>
      </c>
    </row>
    <row r="31" spans="1:10" x14ac:dyDescent="0.2">
      <c r="A31">
        <f>Black_dr!C31-White_dr!C31</f>
        <v>0</v>
      </c>
      <c r="B31">
        <f t="shared" si="0"/>
        <v>19</v>
      </c>
      <c r="C31">
        <f>Black_dr!E31-White_dr!E31</f>
        <v>0</v>
      </c>
      <c r="D31">
        <f t="shared" si="1"/>
        <v>19</v>
      </c>
      <c r="E31" t="e">
        <f>Black_dr!G31-White_dr!G31</f>
        <v>#VALUE!</v>
      </c>
      <c r="F31" t="e">
        <f t="shared" si="2"/>
        <v>#VALUE!</v>
      </c>
      <c r="G31" t="e">
        <f>Black_dr!I31-White_dr!I31</f>
        <v>#VALUE!</v>
      </c>
      <c r="H31" t="e">
        <f t="shared" si="3"/>
        <v>#VALUE!</v>
      </c>
      <c r="I31">
        <f>Black_dr!K31-White_dr!K31</f>
        <v>566</v>
      </c>
      <c r="J31">
        <f t="shared" si="3"/>
        <v>566</v>
      </c>
    </row>
    <row r="32" spans="1:10" x14ac:dyDescent="0.2">
      <c r="A32">
        <f>Black_dr!C32-White_dr!C32</f>
        <v>0</v>
      </c>
      <c r="B32">
        <f t="shared" si="0"/>
        <v>19</v>
      </c>
      <c r="C32">
        <f>Black_dr!E32-White_dr!E32</f>
        <v>0</v>
      </c>
      <c r="D32">
        <f t="shared" si="1"/>
        <v>19</v>
      </c>
      <c r="E32" t="e">
        <f>Black_dr!G32-White_dr!G32</f>
        <v>#VALUE!</v>
      </c>
      <c r="F32" t="e">
        <f t="shared" si="2"/>
        <v>#VALUE!</v>
      </c>
      <c r="G32">
        <f>Black_dr!I32-White_dr!I32</f>
        <v>37</v>
      </c>
      <c r="H32">
        <f t="shared" si="3"/>
        <v>37</v>
      </c>
      <c r="I32">
        <f>Black_dr!K32-White_dr!K32</f>
        <v>37</v>
      </c>
      <c r="J32">
        <f t="shared" si="3"/>
        <v>37</v>
      </c>
    </row>
    <row r="33" spans="1:10" x14ac:dyDescent="0.2">
      <c r="A33">
        <f>Black_dr!C33-White_dr!C33</f>
        <v>0</v>
      </c>
      <c r="B33">
        <f t="shared" si="0"/>
        <v>19</v>
      </c>
      <c r="C33">
        <f>Black_dr!E33-White_dr!E33</f>
        <v>0</v>
      </c>
      <c r="D33">
        <f t="shared" si="1"/>
        <v>19</v>
      </c>
      <c r="E33" t="e">
        <f>Black_dr!G33-White_dr!G33</f>
        <v>#VALUE!</v>
      </c>
      <c r="F33" t="e">
        <f t="shared" si="2"/>
        <v>#VALUE!</v>
      </c>
      <c r="G33" t="e">
        <f>Black_dr!I33-White_dr!I33</f>
        <v>#VALUE!</v>
      </c>
      <c r="H33" t="e">
        <f t="shared" si="3"/>
        <v>#VALUE!</v>
      </c>
      <c r="I33">
        <f>Black_dr!K33-White_dr!K33</f>
        <v>643</v>
      </c>
      <c r="J33">
        <f t="shared" si="3"/>
        <v>643</v>
      </c>
    </row>
    <row r="34" spans="1:10" x14ac:dyDescent="0.2">
      <c r="A34">
        <f>Black_dr!C34-White_dr!C34</f>
        <v>0</v>
      </c>
      <c r="B34">
        <f t="shared" si="0"/>
        <v>19</v>
      </c>
      <c r="C34">
        <f>Black_dr!E34-White_dr!E34</f>
        <v>0</v>
      </c>
      <c r="D34">
        <f t="shared" si="1"/>
        <v>19</v>
      </c>
      <c r="E34">
        <f>Black_dr!G34-White_dr!G34</f>
        <v>17</v>
      </c>
      <c r="F34">
        <f t="shared" si="2"/>
        <v>17</v>
      </c>
      <c r="G34">
        <f>Black_dr!I34-White_dr!I34</f>
        <v>17</v>
      </c>
      <c r="H34">
        <f t="shared" si="3"/>
        <v>17</v>
      </c>
      <c r="I34">
        <f>Black_dr!K34-White_dr!K34</f>
        <v>17</v>
      </c>
      <c r="J34">
        <f t="shared" si="3"/>
        <v>17</v>
      </c>
    </row>
    <row r="35" spans="1:10" x14ac:dyDescent="0.2">
      <c r="A35">
        <f>Black_dr!C35-White_dr!C35</f>
        <v>0</v>
      </c>
      <c r="B35">
        <f t="shared" si="0"/>
        <v>19</v>
      </c>
      <c r="C35">
        <f>Black_dr!E35-White_dr!E35</f>
        <v>0</v>
      </c>
      <c r="D35">
        <f t="shared" si="1"/>
        <v>19</v>
      </c>
      <c r="E35" t="e">
        <f>Black_dr!G35-White_dr!G35</f>
        <v>#VALUE!</v>
      </c>
      <c r="F35" t="e">
        <f t="shared" si="2"/>
        <v>#VALUE!</v>
      </c>
      <c r="G35" t="e">
        <f>Black_dr!I35-White_dr!I35</f>
        <v>#VALUE!</v>
      </c>
      <c r="H35" t="e">
        <f t="shared" si="3"/>
        <v>#VALUE!</v>
      </c>
      <c r="I35">
        <f>Black_dr!K35-White_dr!K35</f>
        <v>542</v>
      </c>
      <c r="J35">
        <f t="shared" si="3"/>
        <v>542</v>
      </c>
    </row>
    <row r="36" spans="1:10" x14ac:dyDescent="0.2">
      <c r="A36">
        <f>Black_dr!C36-White_dr!C36</f>
        <v>0</v>
      </c>
      <c r="B36">
        <f t="shared" si="0"/>
        <v>19</v>
      </c>
      <c r="C36">
        <f>Black_dr!E36-White_dr!E36</f>
        <v>0</v>
      </c>
      <c r="D36">
        <f t="shared" si="1"/>
        <v>19</v>
      </c>
      <c r="E36" t="e">
        <f>Black_dr!G36-White_dr!G36</f>
        <v>#VALUE!</v>
      </c>
      <c r="F36" t="e">
        <f t="shared" si="2"/>
        <v>#VALUE!</v>
      </c>
      <c r="G36">
        <f>Black_dr!I36-White_dr!I36</f>
        <v>33</v>
      </c>
      <c r="H36">
        <f t="shared" si="3"/>
        <v>33</v>
      </c>
      <c r="I36">
        <f>Black_dr!K36-White_dr!K36</f>
        <v>33</v>
      </c>
      <c r="J36">
        <f t="shared" si="3"/>
        <v>33</v>
      </c>
    </row>
    <row r="37" spans="1:10" x14ac:dyDescent="0.2">
      <c r="A37">
        <f>Black_dr!C37-White_dr!C37</f>
        <v>0</v>
      </c>
      <c r="B37">
        <f t="shared" si="0"/>
        <v>19</v>
      </c>
      <c r="C37">
        <f>Black_dr!E37-White_dr!E37</f>
        <v>0</v>
      </c>
      <c r="D37">
        <f t="shared" si="1"/>
        <v>19</v>
      </c>
      <c r="E37" t="e">
        <f>Black_dr!G37-White_dr!G37</f>
        <v>#VALUE!</v>
      </c>
      <c r="F37" t="e">
        <f t="shared" si="2"/>
        <v>#VALUE!</v>
      </c>
      <c r="G37" t="e">
        <f>Black_dr!I37-White_dr!I37</f>
        <v>#VALUE!</v>
      </c>
      <c r="H37" t="e">
        <f t="shared" si="3"/>
        <v>#VALUE!</v>
      </c>
      <c r="I37">
        <f>Black_dr!K37-White_dr!K37</f>
        <v>616</v>
      </c>
      <c r="J37">
        <f t="shared" si="3"/>
        <v>616</v>
      </c>
    </row>
    <row r="38" spans="1:10" x14ac:dyDescent="0.2">
      <c r="A38">
        <f>Black_dr!C38-White_dr!C38</f>
        <v>0</v>
      </c>
      <c r="B38">
        <f t="shared" si="0"/>
        <v>19</v>
      </c>
      <c r="C38">
        <f>Black_dr!E38-White_dr!E38</f>
        <v>-1</v>
      </c>
      <c r="D38">
        <f t="shared" si="1"/>
        <v>-1</v>
      </c>
      <c r="E38">
        <f>Black_dr!G38-White_dr!G38</f>
        <v>2</v>
      </c>
      <c r="F38">
        <f t="shared" si="2"/>
        <v>2</v>
      </c>
      <c r="G38">
        <f>Black_dr!I38-White_dr!I38</f>
        <v>2</v>
      </c>
      <c r="H38">
        <f t="shared" si="3"/>
        <v>2</v>
      </c>
      <c r="I38">
        <f>Black_dr!K38-White_dr!K38</f>
        <v>2</v>
      </c>
      <c r="J38">
        <f t="shared" si="3"/>
        <v>2</v>
      </c>
    </row>
    <row r="39" spans="1:10" x14ac:dyDescent="0.2">
      <c r="A39">
        <f>Black_dr!C39-White_dr!C39</f>
        <v>0</v>
      </c>
      <c r="B39">
        <f t="shared" si="0"/>
        <v>19</v>
      </c>
      <c r="C39">
        <f>Black_dr!E39-White_dr!E39</f>
        <v>0</v>
      </c>
      <c r="D39">
        <f t="shared" si="1"/>
        <v>-1</v>
      </c>
      <c r="E39" t="e">
        <f>Black_dr!G39-White_dr!G39</f>
        <v>#VALUE!</v>
      </c>
      <c r="F39" t="e">
        <f t="shared" si="2"/>
        <v>#VALUE!</v>
      </c>
      <c r="G39" t="e">
        <f>Black_dr!I39-White_dr!I39</f>
        <v>#VALUE!</v>
      </c>
      <c r="H39" t="e">
        <f t="shared" si="3"/>
        <v>#VALUE!</v>
      </c>
      <c r="I39">
        <f>Black_dr!K39-White_dr!K39</f>
        <v>797</v>
      </c>
      <c r="J39">
        <f t="shared" si="3"/>
        <v>797</v>
      </c>
    </row>
    <row r="40" spans="1:10" x14ac:dyDescent="0.2">
      <c r="A40">
        <f>Black_dr!C40-White_dr!C40</f>
        <v>0</v>
      </c>
      <c r="B40">
        <f t="shared" si="0"/>
        <v>19</v>
      </c>
      <c r="C40">
        <f>Black_dr!E40-White_dr!E40</f>
        <v>0</v>
      </c>
      <c r="D40">
        <f t="shared" si="1"/>
        <v>-1</v>
      </c>
      <c r="E40" t="e">
        <f>Black_dr!G40-White_dr!G40</f>
        <v>#VALUE!</v>
      </c>
      <c r="F40" t="e">
        <f t="shared" si="2"/>
        <v>#VALUE!</v>
      </c>
      <c r="G40">
        <f>Black_dr!I40-White_dr!I40</f>
        <v>24</v>
      </c>
      <c r="H40">
        <f t="shared" si="3"/>
        <v>24</v>
      </c>
      <c r="I40">
        <f>Black_dr!K40-White_dr!K40</f>
        <v>24</v>
      </c>
      <c r="J40">
        <f t="shared" si="3"/>
        <v>24</v>
      </c>
    </row>
    <row r="41" spans="1:10" x14ac:dyDescent="0.2">
      <c r="A41">
        <f>Black_dr!C41-White_dr!C41</f>
        <v>0</v>
      </c>
      <c r="B41">
        <f t="shared" si="0"/>
        <v>19</v>
      </c>
      <c r="C41">
        <f>Black_dr!E41-White_dr!E41</f>
        <v>0</v>
      </c>
      <c r="D41">
        <f t="shared" si="1"/>
        <v>-1</v>
      </c>
      <c r="E41" t="e">
        <f>Black_dr!G41-White_dr!G41</f>
        <v>#VALUE!</v>
      </c>
      <c r="F41" t="e">
        <f t="shared" si="2"/>
        <v>#VALUE!</v>
      </c>
      <c r="G41" t="e">
        <f>Black_dr!I41-White_dr!I41</f>
        <v>#VALUE!</v>
      </c>
      <c r="H41" t="e">
        <f t="shared" si="3"/>
        <v>#VALUE!</v>
      </c>
      <c r="I41">
        <f>Black_dr!K41-White_dr!K41</f>
        <v>908</v>
      </c>
      <c r="J41">
        <f t="shared" si="3"/>
        <v>908</v>
      </c>
    </row>
    <row r="42" spans="1:10" x14ac:dyDescent="0.2">
      <c r="A42">
        <f>Black_dr!C42-White_dr!C42</f>
        <v>0</v>
      </c>
      <c r="B42">
        <f t="shared" si="0"/>
        <v>19</v>
      </c>
      <c r="C42">
        <f>Black_dr!E42-White_dr!E42</f>
        <v>0</v>
      </c>
      <c r="D42">
        <f t="shared" si="1"/>
        <v>-1</v>
      </c>
      <c r="E42">
        <f>Black_dr!G42-White_dr!G42</f>
        <v>-1</v>
      </c>
      <c r="F42">
        <f t="shared" si="2"/>
        <v>-1</v>
      </c>
      <c r="G42">
        <f>Black_dr!I42-White_dr!I42</f>
        <v>-1</v>
      </c>
      <c r="H42">
        <f t="shared" si="3"/>
        <v>-1</v>
      </c>
      <c r="I42">
        <f>Black_dr!K42-White_dr!K42</f>
        <v>-1</v>
      </c>
      <c r="J42">
        <f t="shared" si="3"/>
        <v>-1</v>
      </c>
    </row>
    <row r="43" spans="1:10" x14ac:dyDescent="0.2">
      <c r="A43">
        <f>Black_dr!C43-White_dr!C43</f>
        <v>0</v>
      </c>
      <c r="B43">
        <f t="shared" si="0"/>
        <v>19</v>
      </c>
      <c r="C43">
        <f>Black_dr!E43-White_dr!E43</f>
        <v>0</v>
      </c>
      <c r="D43">
        <f t="shared" si="1"/>
        <v>-1</v>
      </c>
      <c r="E43" t="e">
        <f>Black_dr!G43-White_dr!G43</f>
        <v>#VALUE!</v>
      </c>
      <c r="F43" t="e">
        <f t="shared" si="2"/>
        <v>#VALUE!</v>
      </c>
      <c r="G43" t="e">
        <f>Black_dr!I43-White_dr!I43</f>
        <v>#VALUE!</v>
      </c>
      <c r="H43" t="e">
        <f t="shared" si="3"/>
        <v>#VALUE!</v>
      </c>
      <c r="I43">
        <f>Black_dr!K43-White_dr!K43</f>
        <v>444</v>
      </c>
      <c r="J43">
        <f t="shared" si="3"/>
        <v>444</v>
      </c>
    </row>
    <row r="44" spans="1:10" x14ac:dyDescent="0.2">
      <c r="A44">
        <f>Black_dr!C44-White_dr!C44</f>
        <v>0</v>
      </c>
      <c r="B44">
        <f t="shared" si="0"/>
        <v>19</v>
      </c>
      <c r="C44">
        <f>Black_dr!E44-White_dr!E44</f>
        <v>0</v>
      </c>
      <c r="D44">
        <f t="shared" si="1"/>
        <v>-1</v>
      </c>
      <c r="E44" t="e">
        <f>Black_dr!G44-White_dr!G44</f>
        <v>#VALUE!</v>
      </c>
      <c r="F44" t="e">
        <f t="shared" si="2"/>
        <v>#VALUE!</v>
      </c>
      <c r="G44">
        <f>Black_dr!I44-White_dr!I44</f>
        <v>11</v>
      </c>
      <c r="H44">
        <f t="shared" si="3"/>
        <v>11</v>
      </c>
      <c r="I44">
        <f>Black_dr!K44-White_dr!K44</f>
        <v>11</v>
      </c>
      <c r="J44">
        <f t="shared" si="3"/>
        <v>11</v>
      </c>
    </row>
    <row r="45" spans="1:10" x14ac:dyDescent="0.2">
      <c r="A45">
        <f>Black_dr!C45-White_dr!C45</f>
        <v>0</v>
      </c>
      <c r="B45">
        <f t="shared" si="0"/>
        <v>19</v>
      </c>
      <c r="C45">
        <f>Black_dr!E45-White_dr!E45</f>
        <v>0</v>
      </c>
      <c r="D45">
        <f t="shared" si="1"/>
        <v>-1</v>
      </c>
      <c r="E45" t="e">
        <f>Black_dr!G45-White_dr!G45</f>
        <v>#VALUE!</v>
      </c>
      <c r="F45" t="e">
        <f t="shared" si="2"/>
        <v>#VALUE!</v>
      </c>
      <c r="G45" t="e">
        <f>Black_dr!I45-White_dr!I45</f>
        <v>#VALUE!</v>
      </c>
      <c r="H45" t="e">
        <f t="shared" si="3"/>
        <v>#VALUE!</v>
      </c>
      <c r="I45">
        <f>Black_dr!K45-White_dr!K45</f>
        <v>506</v>
      </c>
      <c r="J45">
        <f t="shared" si="3"/>
        <v>506</v>
      </c>
    </row>
    <row r="46" spans="1:10" x14ac:dyDescent="0.2">
      <c r="A46">
        <f>Black_dr!C46-White_dr!C46</f>
        <v>0</v>
      </c>
      <c r="B46">
        <f t="shared" si="0"/>
        <v>19</v>
      </c>
      <c r="C46">
        <f>Black_dr!E46-White_dr!E46</f>
        <v>0</v>
      </c>
      <c r="D46">
        <f t="shared" si="1"/>
        <v>-1</v>
      </c>
      <c r="E46">
        <f>Black_dr!G46-White_dr!G46</f>
        <v>-7</v>
      </c>
      <c r="F46">
        <f t="shared" si="2"/>
        <v>-7</v>
      </c>
      <c r="G46">
        <f>Black_dr!I46-White_dr!I46</f>
        <v>-7</v>
      </c>
      <c r="H46">
        <f t="shared" si="3"/>
        <v>-7</v>
      </c>
      <c r="I46">
        <f>Black_dr!K46-White_dr!K46</f>
        <v>-7</v>
      </c>
      <c r="J46">
        <f t="shared" si="3"/>
        <v>-7</v>
      </c>
    </row>
    <row r="47" spans="1:10" x14ac:dyDescent="0.2">
      <c r="A47">
        <f>Black_dr!C47-White_dr!C47</f>
        <v>0</v>
      </c>
      <c r="B47">
        <f t="shared" si="0"/>
        <v>19</v>
      </c>
      <c r="C47">
        <f>Black_dr!E47-White_dr!E47</f>
        <v>0</v>
      </c>
      <c r="D47">
        <f t="shared" si="1"/>
        <v>-1</v>
      </c>
      <c r="E47" t="e">
        <f>Black_dr!G47-White_dr!G47</f>
        <v>#VALUE!</v>
      </c>
      <c r="F47" t="e">
        <f t="shared" si="2"/>
        <v>#VALUE!</v>
      </c>
      <c r="G47" t="e">
        <f>Black_dr!I47-White_dr!I47</f>
        <v>#VALUE!</v>
      </c>
      <c r="H47" t="e">
        <f t="shared" si="3"/>
        <v>#VALUE!</v>
      </c>
      <c r="I47">
        <f>Black_dr!K47-White_dr!K47</f>
        <v>442</v>
      </c>
      <c r="J47">
        <f t="shared" si="3"/>
        <v>442</v>
      </c>
    </row>
    <row r="48" spans="1:10" x14ac:dyDescent="0.2">
      <c r="A48">
        <f>Black_dr!C48-White_dr!C48</f>
        <v>0</v>
      </c>
      <c r="B48">
        <f t="shared" si="0"/>
        <v>19</v>
      </c>
      <c r="C48">
        <f>Black_dr!E48-White_dr!E48</f>
        <v>0</v>
      </c>
      <c r="D48">
        <f t="shared" si="1"/>
        <v>-1</v>
      </c>
      <c r="E48" t="e">
        <f>Black_dr!G48-White_dr!G48</f>
        <v>#VALUE!</v>
      </c>
      <c r="F48" t="e">
        <f t="shared" si="2"/>
        <v>#VALUE!</v>
      </c>
      <c r="G48">
        <f>Black_dr!I48-White_dr!I48</f>
        <v>6</v>
      </c>
      <c r="H48">
        <f t="shared" si="3"/>
        <v>6</v>
      </c>
      <c r="I48">
        <f>Black_dr!K48-White_dr!K48</f>
        <v>6</v>
      </c>
      <c r="J48">
        <f t="shared" si="3"/>
        <v>6</v>
      </c>
    </row>
    <row r="49" spans="1:10" x14ac:dyDescent="0.2">
      <c r="A49">
        <f>Black_dr!C49-White_dr!C49</f>
        <v>0</v>
      </c>
      <c r="B49">
        <f t="shared" si="0"/>
        <v>19</v>
      </c>
      <c r="C49">
        <f>Black_dr!E49-White_dr!E49</f>
        <v>0</v>
      </c>
      <c r="D49">
        <f t="shared" si="1"/>
        <v>-1</v>
      </c>
      <c r="E49" t="e">
        <f>Black_dr!G49-White_dr!G49</f>
        <v>#VALUE!</v>
      </c>
      <c r="F49" t="e">
        <f t="shared" si="2"/>
        <v>#VALUE!</v>
      </c>
      <c r="G49" t="e">
        <f>Black_dr!I49-White_dr!I49</f>
        <v>#VALUE!</v>
      </c>
      <c r="H49" t="e">
        <f t="shared" si="3"/>
        <v>#VALUE!</v>
      </c>
      <c r="I49">
        <f>Black_dr!K49-White_dr!K49</f>
        <v>504</v>
      </c>
      <c r="J49">
        <f t="shared" si="3"/>
        <v>504</v>
      </c>
    </row>
    <row r="50" spans="1:10" x14ac:dyDescent="0.2">
      <c r="A50">
        <f>Black_dr!C50-White_dr!C50</f>
        <v>17</v>
      </c>
      <c r="B50">
        <f t="shared" si="0"/>
        <v>17</v>
      </c>
      <c r="C50">
        <f>Black_dr!E50-White_dr!E50</f>
        <v>17</v>
      </c>
      <c r="D50">
        <f t="shared" si="1"/>
        <v>17</v>
      </c>
      <c r="E50">
        <f>Black_dr!G50-White_dr!G50</f>
        <v>7</v>
      </c>
      <c r="F50">
        <f t="shared" si="2"/>
        <v>7</v>
      </c>
      <c r="G50">
        <f>Black_dr!I50-White_dr!I50</f>
        <v>7</v>
      </c>
      <c r="H50">
        <f t="shared" si="3"/>
        <v>7</v>
      </c>
      <c r="I50">
        <f>Black_dr!K50-White_dr!K50</f>
        <v>7</v>
      </c>
      <c r="J50">
        <f t="shared" si="3"/>
        <v>7</v>
      </c>
    </row>
    <row r="51" spans="1:10" x14ac:dyDescent="0.2">
      <c r="A51">
        <f>Black_dr!C51-White_dr!C51</f>
        <v>0</v>
      </c>
      <c r="B51">
        <f t="shared" si="0"/>
        <v>17</v>
      </c>
      <c r="C51">
        <f>Black_dr!E51-White_dr!E51</f>
        <v>0</v>
      </c>
      <c r="D51">
        <f t="shared" si="1"/>
        <v>17</v>
      </c>
      <c r="E51" t="e">
        <f>Black_dr!G51-White_dr!G51</f>
        <v>#VALUE!</v>
      </c>
      <c r="F51" t="e">
        <f t="shared" si="2"/>
        <v>#VALUE!</v>
      </c>
      <c r="G51" t="e">
        <f>Black_dr!I51-White_dr!I51</f>
        <v>#VALUE!</v>
      </c>
      <c r="H51" t="e">
        <f t="shared" si="3"/>
        <v>#VALUE!</v>
      </c>
      <c r="I51">
        <f>Black_dr!K51-White_dr!K51</f>
        <v>867</v>
      </c>
      <c r="J51">
        <f t="shared" si="3"/>
        <v>867</v>
      </c>
    </row>
    <row r="52" spans="1:10" x14ac:dyDescent="0.2">
      <c r="A52">
        <f>Black_dr!C52-White_dr!C52</f>
        <v>0</v>
      </c>
      <c r="B52">
        <f t="shared" si="0"/>
        <v>17</v>
      </c>
      <c r="C52">
        <f>Black_dr!E52-White_dr!E52</f>
        <v>0</v>
      </c>
      <c r="D52">
        <f t="shared" si="1"/>
        <v>17</v>
      </c>
      <c r="E52" t="e">
        <f>Black_dr!G52-White_dr!G52</f>
        <v>#VALUE!</v>
      </c>
      <c r="F52" t="e">
        <f t="shared" si="2"/>
        <v>#VALUE!</v>
      </c>
      <c r="G52">
        <f>Black_dr!I52-White_dr!I52</f>
        <v>17</v>
      </c>
      <c r="H52">
        <f t="shared" si="3"/>
        <v>17</v>
      </c>
      <c r="I52">
        <f>Black_dr!K52-White_dr!K52</f>
        <v>17</v>
      </c>
      <c r="J52">
        <f t="shared" si="3"/>
        <v>17</v>
      </c>
    </row>
    <row r="53" spans="1:10" x14ac:dyDescent="0.2">
      <c r="A53">
        <f>Black_dr!C53-White_dr!C53</f>
        <v>0</v>
      </c>
      <c r="B53">
        <f t="shared" si="0"/>
        <v>17</v>
      </c>
      <c r="C53">
        <f>Black_dr!E53-White_dr!E53</f>
        <v>0</v>
      </c>
      <c r="D53">
        <f t="shared" si="1"/>
        <v>17</v>
      </c>
      <c r="E53" t="e">
        <f>Black_dr!G53-White_dr!G53</f>
        <v>#VALUE!</v>
      </c>
      <c r="F53" t="e">
        <f t="shared" si="2"/>
        <v>#VALUE!</v>
      </c>
      <c r="G53" t="e">
        <f>Black_dr!I53-White_dr!I53</f>
        <v>#VALUE!</v>
      </c>
      <c r="H53" t="e">
        <f t="shared" si="3"/>
        <v>#VALUE!</v>
      </c>
      <c r="I53">
        <f>Black_dr!K53-White_dr!K53</f>
        <v>945</v>
      </c>
      <c r="J53">
        <f t="shared" si="3"/>
        <v>945</v>
      </c>
    </row>
    <row r="54" spans="1:10" x14ac:dyDescent="0.2">
      <c r="A54">
        <f>Black_dr!C54-White_dr!C54</f>
        <v>0</v>
      </c>
      <c r="B54">
        <f t="shared" si="0"/>
        <v>17</v>
      </c>
      <c r="C54">
        <f>Black_dr!E54-White_dr!E54</f>
        <v>0</v>
      </c>
      <c r="D54">
        <f t="shared" si="1"/>
        <v>17</v>
      </c>
      <c r="E54">
        <f>Black_dr!G54-White_dr!G54</f>
        <v>17</v>
      </c>
      <c r="F54">
        <f t="shared" si="2"/>
        <v>17</v>
      </c>
      <c r="G54">
        <f>Black_dr!I54-White_dr!I54</f>
        <v>17</v>
      </c>
      <c r="H54">
        <f t="shared" si="3"/>
        <v>17</v>
      </c>
      <c r="I54">
        <f>Black_dr!K54-White_dr!K54</f>
        <v>17</v>
      </c>
      <c r="J54">
        <f t="shared" si="3"/>
        <v>17</v>
      </c>
    </row>
    <row r="55" spans="1:10" x14ac:dyDescent="0.2">
      <c r="A55">
        <f>Black_dr!C55-White_dr!C55</f>
        <v>0</v>
      </c>
      <c r="B55">
        <f t="shared" si="0"/>
        <v>17</v>
      </c>
      <c r="C55">
        <f>Black_dr!E55-White_dr!E55</f>
        <v>0</v>
      </c>
      <c r="D55">
        <f t="shared" si="1"/>
        <v>17</v>
      </c>
      <c r="E55" t="e">
        <f>Black_dr!G55-White_dr!G55</f>
        <v>#VALUE!</v>
      </c>
      <c r="F55" t="e">
        <f t="shared" si="2"/>
        <v>#VALUE!</v>
      </c>
      <c r="G55" t="e">
        <f>Black_dr!I55-White_dr!I55</f>
        <v>#VALUE!</v>
      </c>
      <c r="H55" t="e">
        <f t="shared" si="3"/>
        <v>#VALUE!</v>
      </c>
      <c r="I55">
        <f>Black_dr!K55-White_dr!K55</f>
        <v>594</v>
      </c>
      <c r="J55">
        <f t="shared" si="3"/>
        <v>594</v>
      </c>
    </row>
    <row r="56" spans="1:10" x14ac:dyDescent="0.2">
      <c r="A56">
        <f>Black_dr!C56-White_dr!C56</f>
        <v>0</v>
      </c>
      <c r="B56">
        <f t="shared" si="0"/>
        <v>17</v>
      </c>
      <c r="C56">
        <f>Black_dr!E56-White_dr!E56</f>
        <v>0</v>
      </c>
      <c r="D56">
        <f t="shared" si="1"/>
        <v>17</v>
      </c>
      <c r="E56" t="e">
        <f>Black_dr!G56-White_dr!G56</f>
        <v>#VALUE!</v>
      </c>
      <c r="F56" t="e">
        <f t="shared" si="2"/>
        <v>#VALUE!</v>
      </c>
      <c r="G56">
        <f>Black_dr!I56-White_dr!I56</f>
        <v>26</v>
      </c>
      <c r="H56">
        <f t="shared" si="3"/>
        <v>26</v>
      </c>
      <c r="I56">
        <f>Black_dr!K56-White_dr!K56</f>
        <v>26</v>
      </c>
      <c r="J56">
        <f t="shared" si="3"/>
        <v>26</v>
      </c>
    </row>
    <row r="57" spans="1:10" x14ac:dyDescent="0.2">
      <c r="A57">
        <f>Black_dr!C57-White_dr!C57</f>
        <v>0</v>
      </c>
      <c r="B57">
        <f t="shared" si="0"/>
        <v>17</v>
      </c>
      <c r="C57">
        <f>Black_dr!E57-White_dr!E57</f>
        <v>0</v>
      </c>
      <c r="D57">
        <f t="shared" si="1"/>
        <v>17</v>
      </c>
      <c r="E57" t="e">
        <f>Black_dr!G57-White_dr!G57</f>
        <v>#VALUE!</v>
      </c>
      <c r="F57" t="e">
        <f t="shared" si="2"/>
        <v>#VALUE!</v>
      </c>
      <c r="G57" t="e">
        <f>Black_dr!I57-White_dr!I57</f>
        <v>#VALUE!</v>
      </c>
      <c r="H57" t="e">
        <f t="shared" si="3"/>
        <v>#VALUE!</v>
      </c>
      <c r="I57">
        <f>Black_dr!K57-White_dr!K57</f>
        <v>647</v>
      </c>
      <c r="J57">
        <f t="shared" si="3"/>
        <v>647</v>
      </c>
    </row>
    <row r="58" spans="1:10" x14ac:dyDescent="0.2">
      <c r="A58">
        <f>Black_dr!C58-White_dr!C58</f>
        <v>0</v>
      </c>
      <c r="B58">
        <f t="shared" si="0"/>
        <v>17</v>
      </c>
      <c r="C58">
        <f>Black_dr!E58-White_dr!E58</f>
        <v>0</v>
      </c>
      <c r="D58">
        <f t="shared" si="1"/>
        <v>17</v>
      </c>
      <c r="E58">
        <f>Black_dr!G58-White_dr!G58</f>
        <v>14</v>
      </c>
      <c r="F58">
        <f t="shared" si="2"/>
        <v>14</v>
      </c>
      <c r="G58">
        <f>Black_dr!I58-White_dr!I58</f>
        <v>14</v>
      </c>
      <c r="H58">
        <f t="shared" si="3"/>
        <v>14</v>
      </c>
      <c r="I58">
        <f>Black_dr!K58-White_dr!K58</f>
        <v>14</v>
      </c>
      <c r="J58">
        <f t="shared" si="3"/>
        <v>14</v>
      </c>
    </row>
    <row r="59" spans="1:10" x14ac:dyDescent="0.2">
      <c r="A59">
        <f>Black_dr!C59-White_dr!C59</f>
        <v>0</v>
      </c>
      <c r="B59">
        <f t="shared" si="0"/>
        <v>17</v>
      </c>
      <c r="C59">
        <f>Black_dr!E59-White_dr!E59</f>
        <v>0</v>
      </c>
      <c r="D59">
        <f t="shared" si="1"/>
        <v>17</v>
      </c>
      <c r="E59" t="e">
        <f>Black_dr!G59-White_dr!G59</f>
        <v>#VALUE!</v>
      </c>
      <c r="F59" t="e">
        <f t="shared" si="2"/>
        <v>#VALUE!</v>
      </c>
      <c r="G59" t="e">
        <f>Black_dr!I59-White_dr!I59</f>
        <v>#VALUE!</v>
      </c>
      <c r="H59" t="e">
        <f t="shared" si="3"/>
        <v>#VALUE!</v>
      </c>
      <c r="I59">
        <f>Black_dr!K59-White_dr!K59</f>
        <v>570</v>
      </c>
      <c r="J59">
        <f t="shared" si="3"/>
        <v>570</v>
      </c>
    </row>
    <row r="60" spans="1:10" x14ac:dyDescent="0.2">
      <c r="A60">
        <f>Black_dr!C60-White_dr!C60</f>
        <v>0</v>
      </c>
      <c r="B60">
        <f t="shared" si="0"/>
        <v>17</v>
      </c>
      <c r="C60">
        <f>Black_dr!E60-White_dr!E60</f>
        <v>0</v>
      </c>
      <c r="D60">
        <f t="shared" si="1"/>
        <v>17</v>
      </c>
      <c r="E60" t="e">
        <f>Black_dr!G60-White_dr!G60</f>
        <v>#VALUE!</v>
      </c>
      <c r="F60" t="e">
        <f t="shared" si="2"/>
        <v>#VALUE!</v>
      </c>
      <c r="G60">
        <f>Black_dr!I60-White_dr!I60</f>
        <v>22</v>
      </c>
      <c r="H60">
        <f t="shared" si="3"/>
        <v>22</v>
      </c>
      <c r="I60">
        <f>Black_dr!K60-White_dr!K60</f>
        <v>22</v>
      </c>
      <c r="J60">
        <f t="shared" si="3"/>
        <v>22</v>
      </c>
    </row>
    <row r="61" spans="1:10" x14ac:dyDescent="0.2">
      <c r="A61">
        <f>Black_dr!C61-White_dr!C61</f>
        <v>0</v>
      </c>
      <c r="B61">
        <f t="shared" si="0"/>
        <v>17</v>
      </c>
      <c r="C61">
        <f>Black_dr!E61-White_dr!E61</f>
        <v>0</v>
      </c>
      <c r="D61">
        <f t="shared" si="1"/>
        <v>17</v>
      </c>
      <c r="E61" t="e">
        <f>Black_dr!G61-White_dr!G61</f>
        <v>#VALUE!</v>
      </c>
      <c r="F61" t="e">
        <f t="shared" si="2"/>
        <v>#VALUE!</v>
      </c>
      <c r="G61" t="e">
        <f>Black_dr!I61-White_dr!I61</f>
        <v>#VALUE!</v>
      </c>
      <c r="H61" t="e">
        <f t="shared" si="3"/>
        <v>#VALUE!</v>
      </c>
      <c r="I61">
        <f>Black_dr!K61-White_dr!K61</f>
        <v>620</v>
      </c>
      <c r="J61">
        <f t="shared" si="3"/>
        <v>620</v>
      </c>
    </row>
    <row r="62" spans="1:10" x14ac:dyDescent="0.2">
      <c r="A62">
        <f>Black_dr!C62-White_dr!C62</f>
        <v>0</v>
      </c>
      <c r="B62">
        <f t="shared" si="0"/>
        <v>17</v>
      </c>
      <c r="C62">
        <f>Black_dr!E62-White_dr!E62</f>
        <v>-4</v>
      </c>
      <c r="D62">
        <f t="shared" si="1"/>
        <v>-4</v>
      </c>
      <c r="E62">
        <f>Black_dr!G62-White_dr!G62</f>
        <v>-4</v>
      </c>
      <c r="F62">
        <f t="shared" si="2"/>
        <v>-4</v>
      </c>
      <c r="G62">
        <f>Black_dr!I62-White_dr!I62</f>
        <v>-4</v>
      </c>
      <c r="H62">
        <f t="shared" si="3"/>
        <v>-4</v>
      </c>
      <c r="I62">
        <f>Black_dr!K62-White_dr!K62</f>
        <v>-4</v>
      </c>
      <c r="J62">
        <f t="shared" si="3"/>
        <v>-4</v>
      </c>
    </row>
    <row r="63" spans="1:10" x14ac:dyDescent="0.2">
      <c r="A63">
        <f>Black_dr!C63-White_dr!C63</f>
        <v>0</v>
      </c>
      <c r="B63">
        <f t="shared" si="0"/>
        <v>17</v>
      </c>
      <c r="C63">
        <f>Black_dr!E63-White_dr!E63</f>
        <v>0</v>
      </c>
      <c r="D63">
        <f t="shared" si="1"/>
        <v>-4</v>
      </c>
      <c r="E63" t="e">
        <f>Black_dr!G63-White_dr!G63</f>
        <v>#VALUE!</v>
      </c>
      <c r="F63" t="e">
        <f t="shared" si="2"/>
        <v>#VALUE!</v>
      </c>
      <c r="G63" t="e">
        <f>Black_dr!I63-White_dr!I63</f>
        <v>#VALUE!</v>
      </c>
      <c r="H63" t="e">
        <f t="shared" si="3"/>
        <v>#VALUE!</v>
      </c>
      <c r="I63">
        <f>Black_dr!K63-White_dr!K63</f>
        <v>838</v>
      </c>
      <c r="J63">
        <f t="shared" si="3"/>
        <v>838</v>
      </c>
    </row>
    <row r="64" spans="1:10" x14ac:dyDescent="0.2">
      <c r="A64">
        <f>Black_dr!C64-White_dr!C64</f>
        <v>0</v>
      </c>
      <c r="B64">
        <f t="shared" si="0"/>
        <v>17</v>
      </c>
      <c r="C64">
        <f>Black_dr!E64-White_dr!E64</f>
        <v>0</v>
      </c>
      <c r="D64">
        <f t="shared" si="1"/>
        <v>-4</v>
      </c>
      <c r="E64" t="e">
        <f>Black_dr!G64-White_dr!G64</f>
        <v>#VALUE!</v>
      </c>
      <c r="F64" t="e">
        <f t="shared" si="2"/>
        <v>#VALUE!</v>
      </c>
      <c r="G64">
        <f>Black_dr!I64-White_dr!I64</f>
        <v>6</v>
      </c>
      <c r="H64">
        <f t="shared" si="3"/>
        <v>6</v>
      </c>
      <c r="I64">
        <f>Black_dr!K64-White_dr!K64</f>
        <v>6</v>
      </c>
      <c r="J64">
        <f t="shared" si="3"/>
        <v>6</v>
      </c>
    </row>
    <row r="65" spans="1:10" x14ac:dyDescent="0.2">
      <c r="A65">
        <f>Black_dr!C65-White_dr!C65</f>
        <v>0</v>
      </c>
      <c r="B65">
        <f t="shared" si="0"/>
        <v>17</v>
      </c>
      <c r="C65">
        <f>Black_dr!E65-White_dr!E65</f>
        <v>0</v>
      </c>
      <c r="D65">
        <f t="shared" si="1"/>
        <v>-4</v>
      </c>
      <c r="E65" t="e">
        <f>Black_dr!G65-White_dr!G65</f>
        <v>#VALUE!</v>
      </c>
      <c r="F65" t="e">
        <f t="shared" si="2"/>
        <v>#VALUE!</v>
      </c>
      <c r="G65" t="e">
        <f>Black_dr!I65-White_dr!I65</f>
        <v>#VALUE!</v>
      </c>
      <c r="H65" t="e">
        <f t="shared" si="3"/>
        <v>#VALUE!</v>
      </c>
      <c r="I65">
        <f>Black_dr!K65-White_dr!K65</f>
        <v>906</v>
      </c>
      <c r="J65">
        <f t="shared" si="3"/>
        <v>906</v>
      </c>
    </row>
    <row r="66" spans="1:10" x14ac:dyDescent="0.2">
      <c r="A66">
        <f>Black_dr!C66-White_dr!C66</f>
        <v>0</v>
      </c>
      <c r="B66">
        <f t="shared" si="0"/>
        <v>17</v>
      </c>
      <c r="C66">
        <f>Black_dr!E66-White_dr!E66</f>
        <v>0</v>
      </c>
      <c r="D66">
        <f t="shared" si="1"/>
        <v>-4</v>
      </c>
      <c r="E66">
        <f>Black_dr!G66-White_dr!G66</f>
        <v>-4</v>
      </c>
      <c r="F66">
        <f t="shared" si="2"/>
        <v>-4</v>
      </c>
      <c r="G66">
        <f>Black_dr!I66-White_dr!I66</f>
        <v>-4</v>
      </c>
      <c r="H66">
        <f t="shared" si="3"/>
        <v>-4</v>
      </c>
      <c r="I66">
        <f>Black_dr!K66-White_dr!K66</f>
        <v>-4</v>
      </c>
      <c r="J66">
        <f t="shared" si="3"/>
        <v>-4</v>
      </c>
    </row>
    <row r="67" spans="1:10" x14ac:dyDescent="0.2">
      <c r="A67">
        <f>Black_dr!C67-White_dr!C67</f>
        <v>0</v>
      </c>
      <c r="B67">
        <f t="shared" si="0"/>
        <v>17</v>
      </c>
      <c r="C67">
        <f>Black_dr!E67-White_dr!E67</f>
        <v>0</v>
      </c>
      <c r="D67">
        <f t="shared" si="1"/>
        <v>-4</v>
      </c>
      <c r="E67" t="e">
        <f>Black_dr!G67-White_dr!G67</f>
        <v>#VALUE!</v>
      </c>
      <c r="F67" t="e">
        <f t="shared" si="2"/>
        <v>#VALUE!</v>
      </c>
      <c r="G67" t="e">
        <f>Black_dr!I67-White_dr!I67</f>
        <v>#VALUE!</v>
      </c>
      <c r="H67" t="e">
        <f t="shared" si="3"/>
        <v>#VALUE!</v>
      </c>
      <c r="I67">
        <f>Black_dr!K67-White_dr!K67</f>
        <v>467</v>
      </c>
      <c r="J67">
        <f t="shared" si="3"/>
        <v>467</v>
      </c>
    </row>
    <row r="68" spans="1:10" x14ac:dyDescent="0.2">
      <c r="A68">
        <f>Black_dr!C68-White_dr!C68</f>
        <v>0</v>
      </c>
      <c r="B68">
        <f t="shared" ref="B68:B73" si="4">IF(A68=0,B67,A68)</f>
        <v>17</v>
      </c>
      <c r="C68">
        <f>Black_dr!E68-White_dr!E68</f>
        <v>0</v>
      </c>
      <c r="D68">
        <f t="shared" ref="D68:D73" si="5">IF(C68=0,D67,C68)</f>
        <v>-4</v>
      </c>
      <c r="E68" t="e">
        <f>Black_dr!G68-White_dr!G68</f>
        <v>#VALUE!</v>
      </c>
      <c r="F68" t="e">
        <f t="shared" ref="F68:F73" si="6">IF(E68=0,F67,E68)</f>
        <v>#VALUE!</v>
      </c>
      <c r="G68">
        <f>Black_dr!I68-White_dr!I68</f>
        <v>2</v>
      </c>
      <c r="H68">
        <f t="shared" ref="H68:J73" si="7">IF(G68=0,H67,G68)</f>
        <v>2</v>
      </c>
      <c r="I68">
        <f>Black_dr!K68-White_dr!K68</f>
        <v>2</v>
      </c>
      <c r="J68">
        <f t="shared" si="7"/>
        <v>2</v>
      </c>
    </row>
    <row r="69" spans="1:10" x14ac:dyDescent="0.2">
      <c r="A69">
        <f>Black_dr!C69-White_dr!C69</f>
        <v>0</v>
      </c>
      <c r="B69">
        <f t="shared" si="4"/>
        <v>17</v>
      </c>
      <c r="C69">
        <f>Black_dr!E69-White_dr!E69</f>
        <v>0</v>
      </c>
      <c r="D69">
        <f t="shared" si="5"/>
        <v>-4</v>
      </c>
      <c r="E69" t="e">
        <f>Black_dr!G69-White_dr!G69</f>
        <v>#VALUE!</v>
      </c>
      <c r="F69" t="e">
        <f t="shared" si="6"/>
        <v>#VALUE!</v>
      </c>
      <c r="G69" t="e">
        <f>Black_dr!I69-White_dr!I69</f>
        <v>#VALUE!</v>
      </c>
      <c r="H69" t="e">
        <f t="shared" si="7"/>
        <v>#VALUE!</v>
      </c>
      <c r="I69">
        <f>Black_dr!K69-White_dr!K69</f>
        <v>509</v>
      </c>
      <c r="J69">
        <f t="shared" si="7"/>
        <v>509</v>
      </c>
    </row>
    <row r="70" spans="1:10" x14ac:dyDescent="0.2">
      <c r="A70">
        <f>Black_dr!C70-White_dr!C70</f>
        <v>0</v>
      </c>
      <c r="B70">
        <f t="shared" si="4"/>
        <v>17</v>
      </c>
      <c r="C70">
        <f>Black_dr!E70-White_dr!E70</f>
        <v>0</v>
      </c>
      <c r="D70">
        <f t="shared" si="5"/>
        <v>-4</v>
      </c>
      <c r="E70">
        <f>Black_dr!G70-White_dr!G70</f>
        <v>-10</v>
      </c>
      <c r="F70">
        <f t="shared" si="6"/>
        <v>-10</v>
      </c>
      <c r="G70">
        <f>Black_dr!I70-White_dr!I70</f>
        <v>-10</v>
      </c>
      <c r="H70">
        <f t="shared" si="7"/>
        <v>-10</v>
      </c>
      <c r="I70">
        <f>Black_dr!K70-White_dr!K70</f>
        <v>-10</v>
      </c>
      <c r="J70">
        <f t="shared" si="7"/>
        <v>-10</v>
      </c>
    </row>
    <row r="71" spans="1:10" x14ac:dyDescent="0.2">
      <c r="A71">
        <f>Black_dr!C71-White_dr!C71</f>
        <v>0</v>
      </c>
      <c r="B71">
        <f t="shared" si="4"/>
        <v>17</v>
      </c>
      <c r="C71">
        <f>Black_dr!E71-White_dr!E71</f>
        <v>0</v>
      </c>
      <c r="D71">
        <f t="shared" si="5"/>
        <v>-4</v>
      </c>
      <c r="E71" t="e">
        <f>Black_dr!G71-White_dr!G71</f>
        <v>#VALUE!</v>
      </c>
      <c r="F71" t="e">
        <f t="shared" si="6"/>
        <v>#VALUE!</v>
      </c>
      <c r="G71" t="e">
        <f>Black_dr!I71-White_dr!I71</f>
        <v>#VALUE!</v>
      </c>
      <c r="H71" t="e">
        <f t="shared" si="7"/>
        <v>#VALUE!</v>
      </c>
      <c r="I71">
        <f>Black_dr!K71-White_dr!K71</f>
        <v>466</v>
      </c>
      <c r="J71">
        <f t="shared" si="7"/>
        <v>466</v>
      </c>
    </row>
    <row r="72" spans="1:10" x14ac:dyDescent="0.2">
      <c r="A72">
        <f>Black_dr!C72-White_dr!C72</f>
        <v>0</v>
      </c>
      <c r="B72">
        <f t="shared" si="4"/>
        <v>17</v>
      </c>
      <c r="C72">
        <f>Black_dr!E72-White_dr!E72</f>
        <v>0</v>
      </c>
      <c r="D72">
        <f t="shared" si="5"/>
        <v>-4</v>
      </c>
      <c r="E72" t="e">
        <f>Black_dr!G72-White_dr!G72</f>
        <v>#VALUE!</v>
      </c>
      <c r="F72" t="e">
        <f t="shared" si="6"/>
        <v>#VALUE!</v>
      </c>
      <c r="G72">
        <f>Black_dr!I72-White_dr!I72</f>
        <v>-4</v>
      </c>
      <c r="H72">
        <f t="shared" si="7"/>
        <v>-4</v>
      </c>
      <c r="I72">
        <f>Black_dr!K72-White_dr!K72</f>
        <v>-4</v>
      </c>
      <c r="J72">
        <f t="shared" si="7"/>
        <v>-4</v>
      </c>
    </row>
    <row r="73" spans="1:10" x14ac:dyDescent="0.2">
      <c r="A73">
        <f>Black_dr!C73-White_dr!C73</f>
        <v>0</v>
      </c>
      <c r="B73">
        <f t="shared" si="4"/>
        <v>17</v>
      </c>
      <c r="C73">
        <f>Black_dr!E73-White_dr!E73</f>
        <v>0</v>
      </c>
      <c r="D73">
        <f t="shared" si="5"/>
        <v>-4</v>
      </c>
      <c r="E73" t="e">
        <f>Black_dr!G73-White_dr!G73</f>
        <v>#VALUE!</v>
      </c>
      <c r="F73" t="e">
        <f t="shared" si="6"/>
        <v>#VALUE!</v>
      </c>
      <c r="G73" t="e">
        <f>Black_dr!I73-White_dr!I73</f>
        <v>#VALUE!</v>
      </c>
      <c r="H73" t="e">
        <f t="shared" si="7"/>
        <v>#VALUE!</v>
      </c>
      <c r="I73">
        <f>Black_dr!K73-White_dr!K73</f>
        <v>506</v>
      </c>
      <c r="J73">
        <f t="shared" si="7"/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White_exposure</vt:lpstr>
      <vt:lpstr>Black_exposure</vt:lpstr>
      <vt:lpstr>Disparity_exposure</vt:lpstr>
      <vt:lpstr>White_deaths</vt:lpstr>
      <vt:lpstr>Black_deaths</vt:lpstr>
      <vt:lpstr>Disparity_deaths</vt:lpstr>
      <vt:lpstr>White_dr</vt:lpstr>
      <vt:lpstr>Black_dr</vt:lpstr>
      <vt:lpstr>Disparity_dr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Xinyuan Huang</dc:creator>
  <cp:lastModifiedBy>Xinyuan Huang</cp:lastModifiedBy>
  <dcterms:created xsi:type="dcterms:W3CDTF">2025-03-09T05:23:40Z</dcterms:created>
  <dcterms:modified xsi:type="dcterms:W3CDTF">2025-10-03T00:57:38Z</dcterms:modified>
</cp:coreProperties>
</file>